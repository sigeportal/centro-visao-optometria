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cpo\Desktop\"/>
    </mc:Choice>
  </mc:AlternateContent>
  <xr:revisionPtr revIDLastSave="0" documentId="13_ncr:1_{68CB9F36-F628-4DC7-A871-CD1587815F7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lan1" sheetId="5" r:id="rId1"/>
    <sheet name="Frente" sheetId="1" r:id="rId2"/>
    <sheet name="Verso" sheetId="4" r:id="rId3"/>
    <sheet name="CONSENTIMENTO" sheetId="2" r:id="rId4"/>
    <sheet name="Plan3" sheetId="3" r:id="rId5"/>
  </sheets>
  <calcPr calcId="191029"/>
</workbook>
</file>

<file path=xl/calcChain.xml><?xml version="1.0" encoding="utf-8"?>
<calcChain xmlns="http://schemas.openxmlformats.org/spreadsheetml/2006/main">
  <c r="V11" i="2" l="1"/>
  <c r="G11" i="2"/>
  <c r="B10" i="2"/>
  <c r="E35" i="2"/>
  <c r="E12" i="2"/>
  <c r="B33" i="2" l="1"/>
  <c r="G34" i="2"/>
  <c r="V34" i="2"/>
</calcChain>
</file>

<file path=xl/sharedStrings.xml><?xml version="1.0" encoding="utf-8"?>
<sst xmlns="http://schemas.openxmlformats.org/spreadsheetml/2006/main" count="388" uniqueCount="142">
  <si>
    <t>NOME:</t>
  </si>
  <si>
    <t>ENDEREÇO:</t>
  </si>
  <si>
    <t>ATIVIDADE PROFISSIONAL:</t>
  </si>
  <si>
    <t>IDENTIDADE:</t>
  </si>
  <si>
    <t>IDENTIFICAÇÃO PESSOAL</t>
  </si>
  <si>
    <t>TELEFONE:</t>
  </si>
  <si>
    <t>DATA:</t>
  </si>
  <si>
    <t>HISTÓRICO Nº</t>
  </si>
  <si>
    <t>IDADE:</t>
  </si>
  <si>
    <t>QUESTIONÁRIO</t>
  </si>
  <si>
    <t>MOTIVO DA CONSULTA:</t>
  </si>
  <si>
    <t>SINAIS E SINTOMAS:</t>
  </si>
  <si>
    <t>ANT. PESSOAIS:</t>
  </si>
  <si>
    <t>ANT. FAMILIARES:</t>
  </si>
  <si>
    <t>USUÁRIO DE RX:</t>
  </si>
  <si>
    <t>NÃO</t>
  </si>
  <si>
    <t>ÓCULOS</t>
  </si>
  <si>
    <t>LCG</t>
  </si>
  <si>
    <t>LCRG</t>
  </si>
  <si>
    <t>AUX BAIXA VISÃO</t>
  </si>
  <si>
    <t>OE</t>
  </si>
  <si>
    <t>OD</t>
  </si>
  <si>
    <t>ADD</t>
  </si>
  <si>
    <t>TIPO LENTE</t>
  </si>
  <si>
    <t>FILTRO</t>
  </si>
  <si>
    <t>ESF.</t>
  </si>
  <si>
    <t>CIL.</t>
  </si>
  <si>
    <t>EIXO</t>
  </si>
  <si>
    <t>AV</t>
  </si>
  <si>
    <t>COR</t>
  </si>
  <si>
    <t>LENSOMETRIA RX USO</t>
  </si>
  <si>
    <t>SEM CORREÇÃO</t>
  </si>
  <si>
    <t>OPTOTIPO</t>
  </si>
  <si>
    <t>VL-SC</t>
  </si>
  <si>
    <t>PH</t>
  </si>
  <si>
    <t>COM CORREÇÃO</t>
  </si>
  <si>
    <t>ACUIDADE VISUAL</t>
  </si>
  <si>
    <t>VP-SC</t>
  </si>
  <si>
    <t>VL-CC</t>
  </si>
  <si>
    <t>VP-CC</t>
  </si>
  <si>
    <t>OBS:</t>
  </si>
  <si>
    <t>FOTOMOTOR</t>
  </si>
  <si>
    <t>CONSENSUAL</t>
  </si>
  <si>
    <t>ACOMODATIVO</t>
  </si>
  <si>
    <t>REFL. PUP.</t>
  </si>
  <si>
    <t>KAPPA</t>
  </si>
  <si>
    <t>HIRSCH</t>
  </si>
  <si>
    <t>DUCÇ</t>
  </si>
  <si>
    <t>VERSÕES</t>
  </si>
  <si>
    <t>Obs:</t>
  </si>
  <si>
    <t>OBJETO REAL</t>
  </si>
  <si>
    <t>LUZ</t>
  </si>
  <si>
    <t>PPC</t>
  </si>
  <si>
    <t>DISTÂNCIA</t>
  </si>
  <si>
    <t>6 m</t>
  </si>
  <si>
    <t>40 cm</t>
  </si>
  <si>
    <t>20 cm</t>
  </si>
  <si>
    <t>COVER TESTE</t>
  </si>
  <si>
    <t>RFP</t>
  </si>
  <si>
    <t>RFN</t>
  </si>
  <si>
    <t>VL</t>
  </si>
  <si>
    <t>VP</t>
  </si>
  <si>
    <t>AA</t>
  </si>
  <si>
    <t>FLEX MON</t>
  </si>
  <si>
    <t>FACIL</t>
  </si>
  <si>
    <t>AC/A</t>
  </si>
  <si>
    <t>VALOR</t>
  </si>
  <si>
    <t>MÉTODO</t>
  </si>
  <si>
    <t>cpm</t>
  </si>
  <si>
    <t>OFTALMOSCOPIA DIRETA</t>
  </si>
  <si>
    <t>ESCAVAÇÃO:</t>
  </si>
  <si>
    <t>PAPILA:</t>
  </si>
  <si>
    <t>LENTE:</t>
  </si>
  <si>
    <t>BRUCKNER:</t>
  </si>
  <si>
    <t>MÁCULA:</t>
  </si>
  <si>
    <t>FIXAÇÃO:</t>
  </si>
  <si>
    <t>COR:</t>
  </si>
  <si>
    <t>RELAÇÃO A/V:</t>
  </si>
  <si>
    <t>ÚLTIMO CONTROLE:</t>
  </si>
  <si>
    <t>ESTEREOP</t>
  </si>
  <si>
    <t>TESTE</t>
  </si>
  <si>
    <t>V.CROMAT</t>
  </si>
  <si>
    <t>AMSLER</t>
  </si>
  <si>
    <t>NORMAL</t>
  </si>
  <si>
    <t>ALTERADO</t>
  </si>
  <si>
    <t>OBS.:</t>
  </si>
  <si>
    <t>SOBRANCELHAS</t>
  </si>
  <si>
    <t>CÍLIOS</t>
  </si>
  <si>
    <t>PÁLPEBRAS</t>
  </si>
  <si>
    <t>CONJUNTIVAS</t>
  </si>
  <si>
    <t>CÓRNEAS</t>
  </si>
  <si>
    <t>ÍRIS</t>
  </si>
  <si>
    <t>CRISTALINOS</t>
  </si>
  <si>
    <t>BIOMICROSCOPIA</t>
  </si>
  <si>
    <t>OBS</t>
  </si>
  <si>
    <t>RETINOSCOPIA</t>
  </si>
  <si>
    <t>CERATOMET</t>
  </si>
  <si>
    <t>SUBJETIVO</t>
  </si>
  <si>
    <t>AVL</t>
  </si>
  <si>
    <t>AVP</t>
  </si>
  <si>
    <t>AFINAMENTO</t>
  </si>
  <si>
    <t>AMBULATORIAL</t>
  </si>
  <si>
    <t>RX FINAL</t>
  </si>
  <si>
    <t>TIPO DE LENTE</t>
  </si>
  <si>
    <t>Obs</t>
  </si>
  <si>
    <t>DIAGNÓSTICO</t>
  </si>
  <si>
    <t>REFRATIVO</t>
  </si>
  <si>
    <t>MOTOR</t>
  </si>
  <si>
    <t>CONDUTA</t>
  </si>
  <si>
    <t>ASSINATURA DO PACIENTE</t>
  </si>
  <si>
    <t>DINÂMICA     ESTÁTICA</t>
  </si>
  <si>
    <r>
      <t xml:space="preserve">SC </t>
    </r>
    <r>
      <rPr>
        <sz val="11"/>
        <color theme="1"/>
        <rFont val="Wingdings 3"/>
        <family val="1"/>
        <charset val="2"/>
      </rPr>
      <t>p</t>
    </r>
  </si>
  <si>
    <r>
      <t xml:space="preserve">CC </t>
    </r>
    <r>
      <rPr>
        <sz val="11"/>
        <color theme="1"/>
        <rFont val="Wingdings 3"/>
        <family val="1"/>
        <charset val="2"/>
      </rPr>
      <t>p</t>
    </r>
  </si>
  <si>
    <t>OPTOCLIN - Clínica Integrada de Saúde</t>
  </si>
  <si>
    <t>Optometria Funcional</t>
  </si>
  <si>
    <t xml:space="preserve">     HISTÓRIA CLÍNICA DE        OPTOMETRIA FUNCIONAL</t>
  </si>
  <si>
    <t>ASSINATURA OPTOMETRISTA</t>
  </si>
  <si>
    <t>AV Longe</t>
  </si>
  <si>
    <t>AV Perto</t>
  </si>
  <si>
    <t>PATOLÓGICA</t>
  </si>
  <si>
    <r>
      <t xml:space="preserve">Declaro estar ciente que serei atendido por um profissional Bacharel em Optometria, </t>
    </r>
    <r>
      <rPr>
        <b/>
        <sz val="10"/>
        <color theme="1"/>
        <rFont val="Arial"/>
        <family val="2"/>
      </rPr>
      <t>NÃO MÉDICO</t>
    </r>
    <r>
      <rPr>
        <sz val="10"/>
        <color theme="1"/>
        <rFont val="Arial"/>
        <family val="2"/>
      </rPr>
      <t>, capacitado para prestar atendimento primário a saúde visual e ocular. Declaro ainda que a prestação de serviço não foi condicionada a comercialização de nenhum produto.</t>
    </r>
  </si>
  <si>
    <t>CPF:</t>
  </si>
  <si>
    <t>NASCIMENTO</t>
  </si>
  <si>
    <t>CIDADE</t>
  </si>
  <si>
    <t xml:space="preserve">Eu, </t>
  </si>
  <si>
    <t>portador do RG</t>
  </si>
  <si>
    <t>na data de:</t>
  </si>
  <si>
    <t>,</t>
  </si>
  <si>
    <t>declaro para os devido fins, estar ciente que serei atendido por</t>
  </si>
  <si>
    <t>profissional Optometrista, não médico, capacitado para prestar atendimento primário  em saúde visual</t>
  </si>
  <si>
    <t>quer outro e/ou serviço serviço oferecido pelo profissional ou qualquer outro estabelecimento.</t>
  </si>
  <si>
    <t>e ocular. Declaro ainda que a prestação deste  serviço  não foi condicionada a comercialização de qual-</t>
  </si>
  <si>
    <t>Assinatura Paciente/Responsável</t>
  </si>
  <si>
    <t>TERMO DE ENCAMINHAMENTO</t>
  </si>
  <si>
    <t>declaro ter sido orientado a procurar profissional médico por</t>
  </si>
  <si>
    <t>nica ficará a cargo do profissional médico escolhido por mim.</t>
  </si>
  <si>
    <t>suspeita de alteração patológica no exame do Optometrista e que a responsabilidade pela conduta clí-</t>
  </si>
  <si>
    <t xml:space="preserve"> </t>
  </si>
  <si>
    <t xml:space="preserve">  </t>
  </si>
  <si>
    <t>CONSULTÓRIO OPTOMETRICO</t>
  </si>
  <si>
    <t>ODM:</t>
  </si>
  <si>
    <t xml:space="preserve">              /        /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</si>
</sst>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[&lt;=9999]0000;[&gt;=999999999999]00\.000\.000\/0000\-00;000\.000\.000\-00"/>
    <numFmt numFmtId="166" formatCode="00\-000000000"/>
  </numFmts>
  <fonts count="3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10"/>
      <color theme="0"/>
      <name val="Arial"/>
      <family val="2"/>
    </font>
    <font>
      <sz val="10"/>
      <color rgb="FF003399"/>
      <name val="Arial"/>
      <family val="2"/>
    </font>
    <font>
      <sz val="9"/>
      <color rgb="FF003399"/>
      <name val="Arial"/>
      <family val="2"/>
    </font>
    <font>
      <sz val="7"/>
      <color rgb="FF003399"/>
      <name val="Arial"/>
      <family val="2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sz val="11"/>
      <color theme="1"/>
      <name val="Wingdings 3"/>
      <family val="1"/>
      <charset val="2"/>
    </font>
    <font>
      <vertAlign val="superscript"/>
      <sz val="8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7"/>
      <color theme="1"/>
      <name val="Arial"/>
      <family val="2"/>
    </font>
    <font>
      <b/>
      <sz val="6.5"/>
      <color theme="1"/>
      <name val="Arial"/>
      <family val="2"/>
    </font>
    <font>
      <b/>
      <sz val="20"/>
      <color theme="1"/>
      <name val="Arial"/>
      <family val="2"/>
    </font>
    <font>
      <b/>
      <sz val="20"/>
      <color theme="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thin">
        <color rgb="FF003399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thin">
        <color rgb="FF003399"/>
      </bottom>
      <diagonal/>
    </border>
    <border>
      <left style="thin">
        <color rgb="FF003399"/>
      </left>
      <right/>
      <top style="thin">
        <color rgb="FF003399"/>
      </top>
      <bottom style="thin">
        <color rgb="FF003399"/>
      </bottom>
      <diagonal/>
    </border>
    <border>
      <left/>
      <right/>
      <top style="thin">
        <color rgb="FF003399"/>
      </top>
      <bottom style="thin">
        <color rgb="FF003399"/>
      </bottom>
      <diagonal/>
    </border>
    <border>
      <left/>
      <right style="thin">
        <color rgb="FF003399"/>
      </right>
      <top style="thin">
        <color rgb="FF003399"/>
      </top>
      <bottom style="thin">
        <color rgb="FF003399"/>
      </bottom>
      <diagonal/>
    </border>
    <border>
      <left/>
      <right style="thin">
        <color rgb="FF003399"/>
      </right>
      <top/>
      <bottom style="thin">
        <color rgb="FF003399"/>
      </bottom>
      <diagonal/>
    </border>
    <border>
      <left style="thin">
        <color rgb="FF003399"/>
      </left>
      <right style="thin">
        <color rgb="FF003399"/>
      </right>
      <top/>
      <bottom style="thin">
        <color rgb="FF003399"/>
      </bottom>
      <diagonal/>
    </border>
    <border>
      <left style="thin">
        <color rgb="FF003399"/>
      </left>
      <right/>
      <top/>
      <bottom style="thin">
        <color rgb="FF003399"/>
      </bottom>
      <diagonal/>
    </border>
    <border>
      <left/>
      <right style="thin">
        <color rgb="FF003399"/>
      </right>
      <top style="thin">
        <color rgb="FF003399"/>
      </top>
      <bottom/>
      <diagonal/>
    </border>
    <border>
      <left style="thin">
        <color rgb="FF003399"/>
      </left>
      <right style="thin">
        <color rgb="FF003399"/>
      </right>
      <top style="thin">
        <color rgb="FF003399"/>
      </top>
      <bottom/>
      <diagonal/>
    </border>
    <border>
      <left style="thin">
        <color rgb="FF003399"/>
      </left>
      <right/>
      <top style="thin">
        <color rgb="FF003399"/>
      </top>
      <bottom/>
      <diagonal/>
    </border>
    <border>
      <left/>
      <right/>
      <top style="thin">
        <color rgb="FF003399"/>
      </top>
      <bottom/>
      <diagonal/>
    </border>
    <border>
      <left/>
      <right style="thin">
        <color rgb="FF003399"/>
      </right>
      <top/>
      <bottom/>
      <diagonal/>
    </border>
    <border>
      <left style="thin">
        <color rgb="FF003399"/>
      </left>
      <right style="thin">
        <color rgb="FF003399"/>
      </right>
      <top/>
      <bottom/>
      <diagonal/>
    </border>
    <border diagonalUp="1">
      <left/>
      <right/>
      <top style="thin">
        <color rgb="FF003399"/>
      </top>
      <bottom/>
      <diagonal style="thin">
        <color rgb="FF003399"/>
      </diagonal>
    </border>
    <border>
      <left style="thin">
        <color rgb="FF003399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3399"/>
      </right>
      <top style="thin">
        <color indexed="64"/>
      </top>
      <bottom style="thin">
        <color rgb="FF003399"/>
      </bottom>
      <diagonal/>
    </border>
    <border>
      <left style="thin">
        <color rgb="FF003399"/>
      </left>
      <right style="thin">
        <color rgb="FF003399"/>
      </right>
      <top style="thin">
        <color indexed="64"/>
      </top>
      <bottom/>
      <diagonal/>
    </border>
    <border>
      <left style="thin">
        <color rgb="FF003399"/>
      </left>
      <right style="thin">
        <color indexed="64"/>
      </right>
      <top style="thin">
        <color indexed="64"/>
      </top>
      <bottom style="thin">
        <color rgb="FF003399"/>
      </bottom>
      <diagonal/>
    </border>
    <border>
      <left style="thin">
        <color rgb="FF003399"/>
      </left>
      <right style="thin">
        <color indexed="64"/>
      </right>
      <top style="thin">
        <color indexed="64"/>
      </top>
      <bottom/>
      <diagonal/>
    </border>
    <border>
      <left style="thin">
        <color rgb="FF003399"/>
      </left>
      <right style="thin">
        <color rgb="FF003399"/>
      </right>
      <top style="thin">
        <color indexed="64"/>
      </top>
      <bottom style="thin">
        <color rgb="FF003399"/>
      </bottom>
      <diagonal/>
    </border>
    <border>
      <left style="thin">
        <color indexed="64"/>
      </left>
      <right style="thin">
        <color rgb="FF003399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339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3399"/>
      </bottom>
      <diagonal/>
    </border>
    <border>
      <left/>
      <right style="thin">
        <color indexed="64"/>
      </right>
      <top style="thin">
        <color indexed="64"/>
      </top>
      <bottom style="thin">
        <color rgb="FF003399"/>
      </bottom>
      <diagonal/>
    </border>
    <border>
      <left style="thin">
        <color rgb="FF003399"/>
      </left>
      <right/>
      <top style="thin">
        <color indexed="64"/>
      </top>
      <bottom style="thin">
        <color rgb="FF003399"/>
      </bottom>
      <diagonal/>
    </border>
    <border>
      <left/>
      <right style="thin">
        <color rgb="FF003399"/>
      </right>
      <top style="thin">
        <color indexed="64"/>
      </top>
      <bottom style="thin">
        <color rgb="FF00339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3399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3399"/>
      </right>
      <top style="thin">
        <color indexed="64"/>
      </top>
      <bottom style="thin">
        <color indexed="64"/>
      </bottom>
      <diagonal/>
    </border>
    <border>
      <left/>
      <right style="thin">
        <color rgb="FF003399"/>
      </right>
      <top style="thin">
        <color indexed="64"/>
      </top>
      <bottom style="thin">
        <color indexed="64"/>
      </bottom>
      <diagonal/>
    </border>
    <border>
      <left style="thin">
        <color rgb="FF003399"/>
      </left>
      <right style="thin">
        <color rgb="FF003399"/>
      </right>
      <top/>
      <bottom style="thin">
        <color indexed="64"/>
      </bottom>
      <diagonal/>
    </border>
    <border>
      <left style="thin">
        <color indexed="64"/>
      </left>
      <right style="thin">
        <color rgb="FF003399"/>
      </right>
      <top/>
      <bottom style="thin">
        <color indexed="64"/>
      </bottom>
      <diagonal/>
    </border>
    <border>
      <left style="thin">
        <color rgb="FF003399"/>
      </left>
      <right style="thin">
        <color indexed="64"/>
      </right>
      <top/>
      <bottom style="thin">
        <color indexed="64"/>
      </bottom>
      <diagonal/>
    </border>
    <border>
      <left style="thin">
        <color rgb="FF003399"/>
      </left>
      <right style="thin">
        <color rgb="FF003399"/>
      </right>
      <top style="thin">
        <color indexed="64"/>
      </top>
      <bottom style="thin">
        <color indexed="64"/>
      </bottom>
      <diagonal/>
    </border>
    <border>
      <left style="thin">
        <color rgb="FF00339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339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3399"/>
      </right>
      <top style="medium">
        <color indexed="64"/>
      </top>
      <bottom/>
      <diagonal/>
    </border>
    <border>
      <left style="thin">
        <color rgb="FF003399"/>
      </left>
      <right style="thin">
        <color rgb="FF003399"/>
      </right>
      <top style="medium">
        <color indexed="64"/>
      </top>
      <bottom style="thin">
        <color rgb="FF003399"/>
      </bottom>
      <diagonal/>
    </border>
    <border>
      <left style="thin">
        <color rgb="FF003399"/>
      </left>
      <right/>
      <top style="medium">
        <color indexed="64"/>
      </top>
      <bottom style="thin">
        <color rgb="FF003399"/>
      </bottom>
      <diagonal/>
    </border>
    <border>
      <left/>
      <right/>
      <top style="medium">
        <color indexed="64"/>
      </top>
      <bottom style="thin">
        <color rgb="FF003399"/>
      </bottom>
      <diagonal/>
    </border>
    <border>
      <left/>
      <right style="medium">
        <color indexed="64"/>
      </right>
      <top style="medium">
        <color indexed="64"/>
      </top>
      <bottom style="thin">
        <color rgb="FF00339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3399"/>
      </top>
      <bottom style="thin">
        <color rgb="FF00339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3399"/>
      </left>
      <right/>
      <top style="thin">
        <color rgb="FF003399"/>
      </top>
      <bottom style="medium">
        <color indexed="64"/>
      </bottom>
      <diagonal/>
    </border>
    <border>
      <left/>
      <right/>
      <top style="thin">
        <color rgb="FF003399"/>
      </top>
      <bottom style="medium">
        <color indexed="64"/>
      </bottom>
      <diagonal/>
    </border>
    <border>
      <left/>
      <right style="thin">
        <color rgb="FF003399"/>
      </right>
      <top style="thin">
        <color rgb="FF003399"/>
      </top>
      <bottom style="medium">
        <color indexed="64"/>
      </bottom>
      <diagonal/>
    </border>
    <border>
      <left/>
      <right style="medium">
        <color indexed="64"/>
      </right>
      <top style="thin">
        <color rgb="FF00339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rgb="FF003399"/>
      </right>
      <top style="thin">
        <color rgb="FF003399"/>
      </top>
      <bottom style="thin">
        <color indexed="64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thin">
        <color indexed="64"/>
      </bottom>
      <diagonal/>
    </border>
    <border>
      <left style="thin">
        <color rgb="FF003399"/>
      </left>
      <right style="thin">
        <color indexed="64"/>
      </right>
      <top style="thin">
        <color rgb="FF0033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3399"/>
      </bottom>
      <diagonal/>
    </border>
    <border>
      <left style="thin">
        <color indexed="64"/>
      </left>
      <right style="thin">
        <color indexed="64"/>
      </right>
      <top style="thin">
        <color rgb="FF0033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3399"/>
      </right>
      <top style="thin">
        <color rgb="FF003399"/>
      </top>
      <bottom style="thin">
        <color indexed="64"/>
      </bottom>
      <diagonal/>
    </border>
    <border diagonalUp="1">
      <left/>
      <right/>
      <top style="thin">
        <color indexed="64"/>
      </top>
      <bottom style="thin">
        <color rgb="FF003399"/>
      </bottom>
      <diagonal style="thin">
        <color rgb="FF003399"/>
      </diagonal>
    </border>
    <border>
      <left style="thin">
        <color rgb="FF003399"/>
      </left>
      <right/>
      <top style="thin">
        <color rgb="FF003399"/>
      </top>
      <bottom style="thin">
        <color indexed="64"/>
      </bottom>
      <diagonal/>
    </border>
    <border diagonalUp="1">
      <left/>
      <right/>
      <top style="thin">
        <color rgb="FF003399"/>
      </top>
      <bottom style="thin">
        <color indexed="64"/>
      </bottom>
      <diagonal style="thin">
        <color rgb="FF003399"/>
      </diagonal>
    </border>
    <border>
      <left/>
      <right/>
      <top style="thin">
        <color rgb="FF003399"/>
      </top>
      <bottom style="thin">
        <color indexed="64"/>
      </bottom>
      <diagonal/>
    </border>
    <border>
      <left/>
      <right style="thin">
        <color indexed="64"/>
      </right>
      <top style="thin">
        <color rgb="FF00339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3399"/>
      </right>
      <top style="medium">
        <color indexed="64"/>
      </top>
      <bottom style="thin">
        <color rgb="FF003399"/>
      </bottom>
      <diagonal/>
    </border>
    <border>
      <left/>
      <right style="medium">
        <color indexed="64"/>
      </right>
      <top/>
      <bottom style="thin">
        <color rgb="FF00339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3399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3399"/>
      </right>
      <top style="medium">
        <color indexed="64"/>
      </top>
      <bottom style="thin">
        <color rgb="FF003399"/>
      </bottom>
      <diagonal/>
    </border>
    <border>
      <left style="medium">
        <color indexed="64"/>
      </left>
      <right style="thin">
        <color rgb="FF003399"/>
      </right>
      <top style="thin">
        <color rgb="FF003399"/>
      </top>
      <bottom style="thin">
        <color rgb="FF003399"/>
      </bottom>
      <diagonal/>
    </border>
    <border>
      <left style="medium">
        <color indexed="64"/>
      </left>
      <right style="thin">
        <color rgb="FF003399"/>
      </right>
      <top style="thin">
        <color rgb="FF003399"/>
      </top>
      <bottom style="medium">
        <color indexed="64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indexed="64"/>
      </bottom>
      <diagonal/>
    </border>
    <border>
      <left style="thin">
        <color rgb="FF003399"/>
      </left>
      <right style="medium">
        <color indexed="64"/>
      </right>
      <top/>
      <bottom style="thin">
        <color rgb="FF003399"/>
      </bottom>
      <diagonal/>
    </border>
    <border>
      <left style="thin">
        <color rgb="FF003399"/>
      </left>
      <right style="medium">
        <color indexed="64"/>
      </right>
      <top style="thin">
        <color rgb="FF003399"/>
      </top>
      <bottom style="thin">
        <color rgb="FF003399"/>
      </bottom>
      <diagonal/>
    </border>
    <border>
      <left style="thin">
        <color rgb="FF003399"/>
      </left>
      <right style="medium">
        <color indexed="64"/>
      </right>
      <top style="thin">
        <color rgb="FF003399"/>
      </top>
      <bottom style="medium">
        <color indexed="64"/>
      </bottom>
      <diagonal/>
    </border>
  </borders>
  <cellStyleXfs count="1">
    <xf numFmtId="0" fontId="0" fillId="0" borderId="0"/>
  </cellStyleXfs>
  <cellXfs count="39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1" fillId="0" borderId="13" xfId="0" applyFont="1" applyBorder="1" applyProtection="1">
      <protection locked="0"/>
    </xf>
    <xf numFmtId="0" fontId="1" fillId="0" borderId="1" xfId="0" applyFont="1" applyBorder="1"/>
    <xf numFmtId="0" fontId="1" fillId="0" borderId="6" xfId="0" applyFont="1" applyBorder="1"/>
    <xf numFmtId="0" fontId="2" fillId="0" borderId="0" xfId="0" applyFont="1" applyAlignment="1">
      <alignment horizontal="left"/>
    </xf>
    <xf numFmtId="0" fontId="1" fillId="0" borderId="15" xfId="0" applyFont="1" applyBorder="1"/>
    <xf numFmtId="0" fontId="1" fillId="0" borderId="17" xfId="0" applyFont="1" applyBorder="1"/>
    <xf numFmtId="0" fontId="1" fillId="0" borderId="18" xfId="0" applyFont="1" applyBorder="1" applyAlignment="1">
      <alignment vertical="center"/>
    </xf>
    <xf numFmtId="0" fontId="1" fillId="0" borderId="18" xfId="0" applyFont="1" applyBorder="1"/>
    <xf numFmtId="0" fontId="0" fillId="2" borderId="0" xfId="0" applyFill="1"/>
    <xf numFmtId="0" fontId="17" fillId="2" borderId="0" xfId="0" applyFont="1" applyFill="1" applyAlignment="1">
      <alignment horizontal="center" vertical="center"/>
    </xf>
    <xf numFmtId="0" fontId="19" fillId="2" borderId="0" xfId="0" applyFont="1" applyFill="1"/>
    <xf numFmtId="0" fontId="2" fillId="5" borderId="0" xfId="0" applyFont="1" applyFill="1"/>
    <xf numFmtId="0" fontId="1" fillId="5" borderId="0" xfId="0" applyFont="1" applyFill="1"/>
    <xf numFmtId="0" fontId="1" fillId="5" borderId="0" xfId="0" applyFont="1" applyFill="1" applyAlignment="1">
      <alignment vertical="center"/>
    </xf>
    <xf numFmtId="0" fontId="22" fillId="5" borderId="0" xfId="0" applyFont="1" applyFill="1"/>
    <xf numFmtId="0" fontId="23" fillId="5" borderId="0" xfId="0" applyFont="1" applyFill="1"/>
    <xf numFmtId="0" fontId="23" fillId="5" borderId="0" xfId="0" applyFont="1" applyFill="1" applyAlignment="1">
      <alignment vertical="center"/>
    </xf>
    <xf numFmtId="0" fontId="26" fillId="5" borderId="0" xfId="0" applyFont="1" applyFill="1" applyAlignment="1">
      <alignment vertical="center" textRotation="90"/>
    </xf>
    <xf numFmtId="0" fontId="22" fillId="5" borderId="0" xfId="0" applyFont="1" applyFill="1" applyAlignment="1">
      <alignment vertical="center" textRotation="90"/>
    </xf>
    <xf numFmtId="0" fontId="22" fillId="5" borderId="0" xfId="0" applyFont="1" applyFill="1" applyAlignment="1" applyProtection="1">
      <alignment vertical="center"/>
      <protection locked="0"/>
    </xf>
    <xf numFmtId="0" fontId="10" fillId="5" borderId="0" xfId="0" applyFont="1" applyFill="1"/>
    <xf numFmtId="0" fontId="26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9" fillId="5" borderId="0" xfId="0" applyFont="1" applyFill="1"/>
    <xf numFmtId="0" fontId="3" fillId="5" borderId="0" xfId="0" applyFont="1" applyFill="1" applyAlignment="1">
      <alignment horizontal="center" textRotation="90"/>
    </xf>
    <xf numFmtId="0" fontId="2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 textRotation="90"/>
    </xf>
    <xf numFmtId="0" fontId="5" fillId="5" borderId="0" xfId="0" applyFont="1" applyFill="1"/>
    <xf numFmtId="0" fontId="8" fillId="5" borderId="0" xfId="0" applyFont="1" applyFill="1"/>
    <xf numFmtId="0" fontId="1" fillId="0" borderId="72" xfId="0" applyFont="1" applyBorder="1"/>
    <xf numFmtId="0" fontId="1" fillId="0" borderId="74" xfId="0" applyFont="1" applyBorder="1"/>
    <xf numFmtId="0" fontId="14" fillId="0" borderId="0" xfId="0" applyFont="1"/>
    <xf numFmtId="49" fontId="1" fillId="0" borderId="77" xfId="0" applyNumberFormat="1" applyFont="1" applyBorder="1" applyAlignment="1" applyProtection="1">
      <alignment vertical="center"/>
      <protection locked="0"/>
    </xf>
    <xf numFmtId="49" fontId="1" fillId="0" borderId="17" xfId="0" applyNumberFormat="1" applyFont="1" applyBorder="1" applyAlignment="1" applyProtection="1">
      <alignment vertical="center"/>
      <protection locked="0"/>
    </xf>
    <xf numFmtId="49" fontId="1" fillId="0" borderId="70" xfId="0" applyNumberFormat="1" applyFont="1" applyBorder="1" applyAlignment="1" applyProtection="1">
      <alignment vertical="center"/>
      <protection locked="0"/>
    </xf>
    <xf numFmtId="49" fontId="1" fillId="0" borderId="18" xfId="0" applyNumberFormat="1" applyFont="1" applyBorder="1" applyAlignment="1" applyProtection="1">
      <alignment vertical="center"/>
      <protection locked="0"/>
    </xf>
    <xf numFmtId="49" fontId="1" fillId="0" borderId="0" xfId="0" applyNumberFormat="1" applyFont="1" applyAlignment="1" applyProtection="1">
      <alignment vertical="center"/>
      <protection locked="0"/>
    </xf>
    <xf numFmtId="49" fontId="1" fillId="0" borderId="78" xfId="0" applyNumberFormat="1" applyFont="1" applyBorder="1" applyAlignment="1" applyProtection="1">
      <alignment vertical="center"/>
      <protection locked="0"/>
    </xf>
    <xf numFmtId="0" fontId="3" fillId="5" borderId="0" xfId="0" applyFont="1" applyFill="1" applyAlignment="1">
      <alignment vertical="center"/>
    </xf>
    <xf numFmtId="0" fontId="7" fillId="5" borderId="0" xfId="0" applyFont="1" applyFill="1"/>
    <xf numFmtId="0" fontId="6" fillId="5" borderId="0" xfId="0" applyFont="1" applyFill="1"/>
    <xf numFmtId="0" fontId="9" fillId="5" borderId="0" xfId="0" applyFont="1" applyFill="1" applyAlignment="1">
      <alignment vertical="center" textRotation="90"/>
    </xf>
    <xf numFmtId="0" fontId="6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3" fillId="5" borderId="0" xfId="0" applyFont="1" applyFill="1" applyAlignment="1" applyProtection="1">
      <alignment vertical="center"/>
      <protection locked="0"/>
    </xf>
    <xf numFmtId="0" fontId="22" fillId="5" borderId="0" xfId="0" applyFont="1" applyFill="1" applyProtection="1">
      <protection locked="0"/>
    </xf>
    <xf numFmtId="0" fontId="22" fillId="5" borderId="0" xfId="0" applyFont="1" applyFill="1" applyAlignment="1">
      <alignment vertical="center"/>
    </xf>
    <xf numFmtId="0" fontId="1" fillId="5" borderId="0" xfId="0" applyFont="1" applyFill="1" applyAlignment="1">
      <alignment vertical="center" shrinkToFit="1"/>
    </xf>
    <xf numFmtId="0" fontId="2" fillId="0" borderId="50" xfId="0" applyFont="1" applyBorder="1"/>
    <xf numFmtId="0" fontId="2" fillId="0" borderId="61" xfId="0" applyFont="1" applyBorder="1" applyAlignment="1">
      <alignment vertical="center" textRotation="90"/>
    </xf>
    <xf numFmtId="0" fontId="2" fillId="0" borderId="0" xfId="0" applyFont="1" applyAlignment="1">
      <alignment vertical="center" textRotation="90"/>
    </xf>
    <xf numFmtId="0" fontId="2" fillId="0" borderId="52" xfId="0" applyFont="1" applyBorder="1"/>
    <xf numFmtId="0" fontId="2" fillId="0" borderId="57" xfId="0" applyFont="1" applyBorder="1"/>
    <xf numFmtId="0" fontId="1" fillId="0" borderId="57" xfId="0" applyFont="1" applyBorder="1"/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 textRotation="90"/>
    </xf>
    <xf numFmtId="0" fontId="24" fillId="0" borderId="59" xfId="0" applyFont="1" applyBorder="1"/>
    <xf numFmtId="0" fontId="23" fillId="0" borderId="60" xfId="0" applyFont="1" applyBorder="1"/>
    <xf numFmtId="0" fontId="22" fillId="0" borderId="50" xfId="0" applyFont="1" applyBorder="1"/>
    <xf numFmtId="0" fontId="25" fillId="0" borderId="0" xfId="0" applyFont="1"/>
    <xf numFmtId="0" fontId="23" fillId="0" borderId="0" xfId="0" applyFont="1"/>
    <xf numFmtId="0" fontId="23" fillId="0" borderId="61" xfId="0" applyFont="1" applyBorder="1"/>
    <xf numFmtId="49" fontId="1" fillId="0" borderId="18" xfId="0" applyNumberFormat="1" applyFont="1" applyBorder="1" applyAlignment="1" applyProtection="1">
      <alignment horizontal="justify" vertical="center"/>
      <protection locked="0"/>
    </xf>
    <xf numFmtId="49" fontId="1" fillId="0" borderId="0" xfId="0" applyNumberFormat="1" applyFont="1" applyAlignment="1" applyProtection="1">
      <alignment horizontal="justify" vertical="center"/>
      <protection locked="0"/>
    </xf>
    <xf numFmtId="49" fontId="1" fillId="0" borderId="78" xfId="0" applyNumberFormat="1" applyFont="1" applyBorder="1" applyAlignment="1" applyProtection="1">
      <alignment horizontal="justify" vertical="center"/>
      <protection locked="0"/>
    </xf>
    <xf numFmtId="49" fontId="1" fillId="0" borderId="79" xfId="0" applyNumberFormat="1" applyFont="1" applyBorder="1" applyAlignment="1" applyProtection="1">
      <alignment horizontal="justify" vertical="center"/>
      <protection locked="0"/>
    </xf>
    <xf numFmtId="49" fontId="1" fillId="0" borderId="27" xfId="0" applyNumberFormat="1" applyFont="1" applyBorder="1" applyAlignment="1" applyProtection="1">
      <alignment horizontal="justify" vertical="center"/>
      <protection locked="0"/>
    </xf>
    <xf numFmtId="49" fontId="1" fillId="0" borderId="80" xfId="0" applyNumberFormat="1" applyFont="1" applyBorder="1" applyAlignment="1" applyProtection="1">
      <alignment horizontal="justify" vertical="center"/>
      <protection locked="0"/>
    </xf>
    <xf numFmtId="0" fontId="2" fillId="5" borderId="36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1" fillId="0" borderId="35" xfId="0" applyFont="1" applyBorder="1" applyAlignment="1" applyProtection="1">
      <alignment horizontal="left"/>
      <protection locked="0"/>
    </xf>
    <xf numFmtId="0" fontId="1" fillId="0" borderId="40" xfId="0" applyFont="1" applyBorder="1" applyAlignment="1" applyProtection="1">
      <alignment horizontal="left"/>
      <protection locked="0"/>
    </xf>
    <xf numFmtId="0" fontId="1" fillId="0" borderId="41" xfId="0" applyFont="1" applyBorder="1" applyAlignment="1" applyProtection="1">
      <alignment horizontal="left"/>
      <protection locked="0"/>
    </xf>
    <xf numFmtId="0" fontId="2" fillId="5" borderId="43" xfId="0" applyFont="1" applyFill="1" applyBorder="1" applyAlignment="1">
      <alignment horizontal="center" vertical="center"/>
    </xf>
    <xf numFmtId="0" fontId="1" fillId="0" borderId="43" xfId="0" applyFont="1" applyBorder="1" applyAlignment="1" applyProtection="1">
      <alignment horizontal="left"/>
      <protection locked="0"/>
    </xf>
    <xf numFmtId="0" fontId="2" fillId="0" borderId="43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8" fillId="5" borderId="43" xfId="0" applyFont="1" applyFill="1" applyBorder="1" applyAlignment="1">
      <alignment horizontal="center" vertical="center" textRotation="9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3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alignment horizontal="left"/>
      <protection locked="0"/>
    </xf>
    <xf numFmtId="0" fontId="2" fillId="3" borderId="43" xfId="0" applyFont="1" applyFill="1" applyBorder="1" applyAlignment="1">
      <alignment horizontal="center" vertical="center"/>
    </xf>
    <xf numFmtId="0" fontId="2" fillId="5" borderId="66" xfId="0" applyFont="1" applyFill="1" applyBorder="1" applyAlignment="1">
      <alignment horizontal="center" vertical="center"/>
    </xf>
    <xf numFmtId="0" fontId="1" fillId="0" borderId="43" xfId="0" applyFont="1" applyBorder="1" applyAlignment="1" applyProtection="1">
      <alignment horizontal="center" vertical="center"/>
      <protection locked="0"/>
    </xf>
    <xf numFmtId="0" fontId="12" fillId="0" borderId="43" xfId="0" applyFont="1" applyBorder="1" applyAlignment="1">
      <alignment horizontal="center" vertical="top"/>
    </xf>
    <xf numFmtId="0" fontId="2" fillId="5" borderId="43" xfId="0" applyFont="1" applyFill="1" applyBorder="1" applyAlignment="1">
      <alignment horizontal="left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29" fillId="3" borderId="43" xfId="0" applyFont="1" applyFill="1" applyBorder="1" applyAlignment="1">
      <alignment horizontal="center" vertical="center"/>
    </xf>
    <xf numFmtId="0" fontId="1" fillId="0" borderId="43" xfId="0" applyFont="1" applyBorder="1" applyAlignment="1" applyProtection="1">
      <alignment horizontal="center"/>
      <protection locked="0"/>
    </xf>
    <xf numFmtId="0" fontId="28" fillId="5" borderId="67" xfId="0" applyFont="1" applyFill="1" applyBorder="1" applyAlignment="1">
      <alignment horizontal="center" vertical="center" textRotation="90"/>
    </xf>
    <xf numFmtId="0" fontId="28" fillId="5" borderId="69" xfId="0" applyFont="1" applyFill="1" applyBorder="1" applyAlignment="1">
      <alignment horizontal="center" vertical="center" textRotation="90"/>
    </xf>
    <xf numFmtId="0" fontId="2" fillId="5" borderId="65" xfId="0" applyFont="1" applyFill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28" fillId="5" borderId="67" xfId="0" applyFont="1" applyFill="1" applyBorder="1" applyAlignment="1">
      <alignment horizontal="center" textRotation="90"/>
    </xf>
    <xf numFmtId="0" fontId="28" fillId="5" borderId="68" xfId="0" applyFont="1" applyFill="1" applyBorder="1" applyAlignment="1">
      <alignment horizontal="center" textRotation="90"/>
    </xf>
    <xf numFmtId="0" fontId="28" fillId="5" borderId="69" xfId="0" applyFont="1" applyFill="1" applyBorder="1" applyAlignment="1">
      <alignment horizontal="center" textRotation="90"/>
    </xf>
    <xf numFmtId="0" fontId="27" fillId="5" borderId="43" xfId="0" applyFont="1" applyFill="1" applyBorder="1" applyAlignment="1">
      <alignment horizontal="center" vertical="center"/>
    </xf>
    <xf numFmtId="0" fontId="28" fillId="5" borderId="68" xfId="0" applyFont="1" applyFill="1" applyBorder="1" applyAlignment="1">
      <alignment horizontal="center" vertical="center" textRotation="90"/>
    </xf>
    <xf numFmtId="0" fontId="22" fillId="5" borderId="31" xfId="0" applyFont="1" applyFill="1" applyBorder="1" applyAlignment="1">
      <alignment horizontal="center" vertical="center"/>
    </xf>
    <xf numFmtId="0" fontId="22" fillId="5" borderId="23" xfId="0" applyFont="1" applyFill="1" applyBorder="1" applyAlignment="1">
      <alignment horizontal="center" vertical="center"/>
    </xf>
    <xf numFmtId="0" fontId="22" fillId="5" borderId="21" xfId="0" applyFont="1" applyFill="1" applyBorder="1" applyAlignment="1">
      <alignment horizontal="center" vertical="center"/>
    </xf>
    <xf numFmtId="49" fontId="1" fillId="0" borderId="28" xfId="0" applyNumberFormat="1" applyFont="1" applyBorder="1" applyAlignment="1" applyProtection="1">
      <alignment horizontal="center" vertical="center"/>
      <protection locked="0"/>
    </xf>
    <xf numFmtId="49" fontId="1" fillId="0" borderId="25" xfId="0" applyNumberFormat="1" applyFont="1" applyBorder="1" applyAlignment="1" applyProtection="1">
      <alignment horizontal="center" vertical="center"/>
      <protection locked="0"/>
    </xf>
    <xf numFmtId="2" fontId="1" fillId="0" borderId="25" xfId="0" applyNumberFormat="1" applyFont="1" applyBorder="1" applyAlignment="1" applyProtection="1">
      <alignment horizontal="center" vertical="center"/>
      <protection locked="0"/>
    </xf>
    <xf numFmtId="2" fontId="1" fillId="0" borderId="29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2" fillId="5" borderId="71" xfId="0" applyFont="1" applyFill="1" applyBorder="1" applyAlignment="1">
      <alignment horizontal="center" vertical="center"/>
    </xf>
    <xf numFmtId="0" fontId="22" fillId="5" borderId="63" xfId="0" applyFont="1" applyFill="1" applyBorder="1" applyAlignment="1">
      <alignment horizontal="center" vertical="center"/>
    </xf>
    <xf numFmtId="0" fontId="22" fillId="5" borderId="64" xfId="0" applyFont="1" applyFill="1" applyBorder="1" applyAlignment="1">
      <alignment horizontal="center" vertical="center"/>
    </xf>
    <xf numFmtId="0" fontId="2" fillId="5" borderId="67" xfId="0" applyFont="1" applyFill="1" applyBorder="1" applyAlignment="1">
      <alignment horizontal="center" vertical="center"/>
    </xf>
    <xf numFmtId="49" fontId="1" fillId="0" borderId="12" xfId="0" applyNumberFormat="1" applyFont="1" applyBorder="1" applyAlignment="1" applyProtection="1">
      <alignment horizontal="center" vertical="center"/>
      <protection locked="0"/>
    </xf>
    <xf numFmtId="2" fontId="1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/>
    </xf>
    <xf numFmtId="0" fontId="1" fillId="0" borderId="1" xfId="0" applyFont="1" applyBorder="1" applyAlignment="1" applyProtection="1">
      <alignment horizontal="left"/>
      <protection locked="0"/>
    </xf>
    <xf numFmtId="0" fontId="2" fillId="5" borderId="62" xfId="0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1" fillId="0" borderId="62" xfId="0" applyFont="1" applyBorder="1" applyAlignment="1" applyProtection="1">
      <alignment horizontal="center"/>
      <protection locked="0"/>
    </xf>
    <xf numFmtId="0" fontId="1" fillId="0" borderId="63" xfId="0" applyFont="1" applyBorder="1" applyAlignment="1" applyProtection="1">
      <alignment horizontal="center"/>
      <protection locked="0"/>
    </xf>
    <xf numFmtId="0" fontId="1" fillId="0" borderId="73" xfId="0" applyFont="1" applyBorder="1" applyAlignment="1" applyProtection="1">
      <alignment horizontal="center"/>
      <protection locked="0"/>
    </xf>
    <xf numFmtId="0" fontId="1" fillId="0" borderId="75" xfId="0" applyFont="1" applyBorder="1" applyAlignment="1" applyProtection="1">
      <alignment horizontal="center"/>
      <protection locked="0"/>
    </xf>
    <xf numFmtId="0" fontId="1" fillId="0" borderId="76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2" fillId="5" borderId="1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23" xfId="0" applyFont="1" applyBorder="1" applyAlignment="1" applyProtection="1">
      <alignment horizontal="center"/>
      <protection locked="0"/>
    </xf>
    <xf numFmtId="0" fontId="1" fillId="0" borderId="30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1" fillId="0" borderId="29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 shrinkToFit="1"/>
      <protection locked="0"/>
    </xf>
    <xf numFmtId="0" fontId="2" fillId="3" borderId="32" xfId="0" applyFont="1" applyFill="1" applyBorder="1" applyAlignment="1">
      <alignment horizontal="center" vertical="center"/>
    </xf>
    <xf numFmtId="0" fontId="1" fillId="0" borderId="43" xfId="0" applyFont="1" applyBorder="1" applyAlignment="1" applyProtection="1">
      <alignment horizontal="center" vertical="center" shrinkToFi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49" fontId="1" fillId="0" borderId="4" xfId="0" applyNumberFormat="1" applyFont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3" borderId="43" xfId="0" applyFont="1" applyFill="1" applyBorder="1" applyAlignment="1">
      <alignment horizontal="center" vertical="center"/>
    </xf>
    <xf numFmtId="0" fontId="23" fillId="5" borderId="32" xfId="0" applyFont="1" applyFill="1" applyBorder="1" applyAlignment="1">
      <alignment horizontal="center" vertical="center"/>
    </xf>
    <xf numFmtId="0" fontId="23" fillId="5" borderId="3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8" fillId="5" borderId="43" xfId="0" applyFont="1" applyFill="1" applyBorder="1" applyAlignment="1">
      <alignment horizontal="center" textRotation="90"/>
    </xf>
    <xf numFmtId="0" fontId="22" fillId="5" borderId="4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9" xfId="0" applyFont="1" applyBorder="1" applyAlignment="1" applyProtection="1">
      <alignment horizontal="left" vertical="center"/>
      <protection locked="0"/>
    </xf>
    <xf numFmtId="0" fontId="2" fillId="0" borderId="23" xfId="0" applyFont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2" fillId="0" borderId="62" xfId="0" applyFont="1" applyBorder="1" applyAlignment="1" applyProtection="1">
      <alignment horizontal="left" vertical="center"/>
      <protection locked="0"/>
    </xf>
    <xf numFmtId="0" fontId="2" fillId="0" borderId="63" xfId="0" applyFont="1" applyBorder="1" applyAlignment="1" applyProtection="1">
      <alignment horizontal="left" vertical="center"/>
      <protection locked="0"/>
    </xf>
    <xf numFmtId="0" fontId="2" fillId="0" borderId="64" xfId="0" applyFont="1" applyBorder="1" applyAlignment="1" applyProtection="1">
      <alignment horizontal="left" vertical="center"/>
      <protection locked="0"/>
    </xf>
    <xf numFmtId="0" fontId="2" fillId="0" borderId="3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43" xfId="0" applyFont="1" applyBorder="1" applyAlignment="1" applyProtection="1">
      <alignment horizontal="left" vertical="center"/>
      <protection locked="0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8" fillId="5" borderId="33" xfId="0" applyFont="1" applyFill="1" applyBorder="1" applyAlignment="1">
      <alignment horizontal="center" vertical="center" textRotation="90"/>
    </xf>
    <xf numFmtId="0" fontId="2" fillId="0" borderId="35" xfId="0" applyFont="1" applyBorder="1" applyAlignment="1" applyProtection="1">
      <alignment horizontal="center" vertical="center"/>
      <protection locked="0"/>
    </xf>
    <xf numFmtId="0" fontId="2" fillId="0" borderId="40" xfId="0" applyFont="1" applyBorder="1" applyAlignment="1" applyProtection="1">
      <alignment horizontal="center" vertical="center"/>
      <protection locked="0"/>
    </xf>
    <xf numFmtId="0" fontId="2" fillId="0" borderId="41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/>
      <protection locked="0"/>
    </xf>
    <xf numFmtId="0" fontId="2" fillId="0" borderId="43" xfId="0" applyFont="1" applyBorder="1" applyAlignment="1" applyProtection="1">
      <alignment horizontal="center" vertical="center"/>
      <protection locked="0"/>
    </xf>
    <xf numFmtId="0" fontId="2" fillId="3" borderId="3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7" xfId="0" applyFont="1" applyFill="1" applyBorder="1" applyAlignment="1">
      <alignment horizontal="center" vertical="center"/>
    </xf>
    <xf numFmtId="0" fontId="2" fillId="0" borderId="36" xfId="0" applyFont="1" applyBorder="1" applyAlignment="1" applyProtection="1">
      <alignment horizontal="center" vertical="center"/>
      <protection locked="0"/>
    </xf>
    <xf numFmtId="0" fontId="2" fillId="0" borderId="42" xfId="0" applyFont="1" applyBorder="1" applyAlignment="1" applyProtection="1">
      <alignment horizontal="center" vertical="center"/>
      <protection locked="0"/>
    </xf>
    <xf numFmtId="0" fontId="2" fillId="3" borderId="86" xfId="0" applyFont="1" applyFill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96" xfId="0" applyFont="1" applyBorder="1" applyAlignment="1" applyProtection="1">
      <alignment horizontal="center" vertical="center"/>
      <protection locked="0"/>
    </xf>
    <xf numFmtId="0" fontId="2" fillId="0" borderId="99" xfId="0" applyFont="1" applyBorder="1" applyAlignment="1" applyProtection="1">
      <alignment horizontal="center" vertical="center"/>
      <protection locked="0"/>
    </xf>
    <xf numFmtId="0" fontId="2" fillId="3" borderId="43" xfId="0" applyFont="1" applyFill="1" applyBorder="1" applyAlignment="1">
      <alignment horizontal="left" vertical="center"/>
    </xf>
    <xf numFmtId="0" fontId="2" fillId="3" borderId="67" xfId="0" applyFont="1" applyFill="1" applyBorder="1" applyAlignment="1">
      <alignment horizontal="left" vertical="center"/>
    </xf>
    <xf numFmtId="0" fontId="2" fillId="0" borderId="24" xfId="0" applyFont="1" applyBorder="1" applyAlignment="1" applyProtection="1">
      <alignment horizontal="left"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0" fontId="26" fillId="5" borderId="43" xfId="0" applyFont="1" applyFill="1" applyBorder="1" applyAlignment="1">
      <alignment horizontal="center" vertical="center" textRotation="90"/>
    </xf>
    <xf numFmtId="0" fontId="1" fillId="3" borderId="44" xfId="0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9" fillId="3" borderId="84" xfId="0" applyFont="1" applyFill="1" applyBorder="1" applyAlignment="1">
      <alignment horizontal="center" vertical="center"/>
    </xf>
    <xf numFmtId="0" fontId="29" fillId="3" borderId="8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69" xfId="0" applyFont="1" applyFill="1" applyBorder="1" applyAlignment="1">
      <alignment horizontal="left" vertical="center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2" fillId="0" borderId="98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3" borderId="88" xfId="0" applyFont="1" applyFill="1" applyBorder="1" applyAlignment="1">
      <alignment horizontal="center" vertical="center"/>
    </xf>
    <xf numFmtId="0" fontId="2" fillId="3" borderId="89" xfId="0" applyFont="1" applyFill="1" applyBorder="1" applyAlignment="1">
      <alignment horizontal="center" vertical="center"/>
    </xf>
    <xf numFmtId="0" fontId="2" fillId="0" borderId="55" xfId="0" applyFont="1" applyBorder="1" applyAlignment="1" applyProtection="1">
      <alignment horizontal="center" vertical="center"/>
      <protection locked="0"/>
    </xf>
    <xf numFmtId="0" fontId="1" fillId="0" borderId="96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14" fontId="14" fillId="0" borderId="27" xfId="0" applyNumberFormat="1" applyFont="1" applyBorder="1" applyAlignment="1" applyProtection="1">
      <alignment horizontal="left"/>
      <protection locked="0"/>
    </xf>
    <xf numFmtId="0" fontId="1" fillId="0" borderId="27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27" fillId="5" borderId="43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2" fillId="0" borderId="17" xfId="0" applyFont="1" applyBorder="1" applyAlignment="1">
      <alignment horizontal="center"/>
    </xf>
    <xf numFmtId="165" fontId="2" fillId="0" borderId="26" xfId="0" applyNumberFormat="1" applyFont="1" applyBorder="1" applyAlignment="1">
      <alignment horizontal="left"/>
    </xf>
    <xf numFmtId="14" fontId="1" fillId="0" borderId="26" xfId="0" applyNumberFormat="1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14" fillId="0" borderId="27" xfId="0" applyFont="1" applyBorder="1" applyAlignment="1" applyProtection="1">
      <alignment horizontal="left"/>
      <protection locked="0"/>
    </xf>
    <xf numFmtId="166" fontId="1" fillId="0" borderId="27" xfId="0" applyNumberFormat="1" applyFont="1" applyBorder="1" applyAlignment="1" applyProtection="1">
      <alignment horizontal="left"/>
      <protection locked="0"/>
    </xf>
    <xf numFmtId="0" fontId="24" fillId="5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center"/>
    </xf>
    <xf numFmtId="14" fontId="1" fillId="0" borderId="32" xfId="0" applyNumberFormat="1" applyFont="1" applyBorder="1" applyAlignment="1" applyProtection="1">
      <alignment horizontal="center" vertical="center"/>
      <protection locked="0"/>
    </xf>
    <xf numFmtId="14" fontId="1" fillId="0" borderId="26" xfId="0" applyNumberFormat="1" applyFont="1" applyBorder="1" applyAlignment="1" applyProtection="1">
      <alignment horizontal="center" vertical="center"/>
      <protection locked="0"/>
    </xf>
    <xf numFmtId="14" fontId="1" fillId="0" borderId="33" xfId="0" applyNumberFormat="1" applyFont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" fillId="0" borderId="89" xfId="0" applyFont="1" applyBorder="1" applyAlignment="1" applyProtection="1">
      <alignment horizontal="center" vertical="center"/>
      <protection locked="0"/>
    </xf>
    <xf numFmtId="0" fontId="1" fillId="0" borderId="90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3" borderId="84" xfId="0" applyFont="1" applyFill="1" applyBorder="1" applyAlignment="1">
      <alignment horizontal="center" vertical="center"/>
    </xf>
    <xf numFmtId="0" fontId="2" fillId="3" borderId="85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1" fillId="0" borderId="43" xfId="0" applyNumberFormat="1" applyFont="1" applyBorder="1" applyAlignment="1" applyProtection="1">
      <alignment horizontal="center" vertical="center"/>
      <protection locked="0"/>
    </xf>
    <xf numFmtId="0" fontId="1" fillId="0" borderId="87" xfId="0" applyFont="1" applyBorder="1" applyAlignment="1" applyProtection="1">
      <alignment horizontal="center" vertical="center"/>
      <protection locked="0"/>
    </xf>
    <xf numFmtId="49" fontId="1" fillId="0" borderId="89" xfId="0" applyNumberFormat="1" applyFont="1" applyBorder="1" applyAlignment="1" applyProtection="1">
      <alignment horizontal="center" vertical="center"/>
      <protection locked="0"/>
    </xf>
    <xf numFmtId="49" fontId="1" fillId="0" borderId="54" xfId="0" applyNumberFormat="1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>
      <alignment horizontal="justify" vertical="center"/>
    </xf>
    <xf numFmtId="0" fontId="1" fillId="0" borderId="59" xfId="0" applyFont="1" applyBorder="1" applyAlignment="1">
      <alignment horizontal="justify" vertical="center"/>
    </xf>
    <xf numFmtId="0" fontId="1" fillId="0" borderId="60" xfId="0" applyFont="1" applyBorder="1" applyAlignment="1">
      <alignment horizontal="justify" vertical="center"/>
    </xf>
    <xf numFmtId="0" fontId="1" fillId="0" borderId="50" xfId="0" applyFont="1" applyBorder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1" fillId="0" borderId="61" xfId="0" applyFont="1" applyBorder="1" applyAlignment="1">
      <alignment horizontal="justify" vertical="center"/>
    </xf>
    <xf numFmtId="0" fontId="2" fillId="0" borderId="84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8" fillId="5" borderId="0" xfId="0" applyFont="1" applyFill="1" applyAlignment="1">
      <alignment horizontal="center" vertical="center" textRotation="90"/>
    </xf>
    <xf numFmtId="0" fontId="2" fillId="3" borderId="47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1" xfId="0" applyFont="1" applyBorder="1" applyAlignment="1" applyProtection="1">
      <alignment horizontal="center" vertical="center"/>
      <protection locked="0"/>
    </xf>
    <xf numFmtId="0" fontId="1" fillId="0" borderId="53" xfId="0" applyFont="1" applyBorder="1" applyAlignment="1" applyProtection="1">
      <alignment horizontal="center" vertical="center"/>
      <protection locked="0"/>
    </xf>
    <xf numFmtId="0" fontId="1" fillId="0" borderId="5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0" fontId="2" fillId="3" borderId="81" xfId="0" applyFont="1" applyFill="1" applyBorder="1" applyAlignment="1">
      <alignment horizontal="center" vertical="center"/>
    </xf>
    <xf numFmtId="49" fontId="1" fillId="0" borderId="4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5" xfId="0" applyNumberFormat="1" applyFont="1" applyBorder="1" applyAlignment="1" applyProtection="1">
      <alignment horizontal="center" vertical="center"/>
      <protection locked="0"/>
    </xf>
    <xf numFmtId="0" fontId="2" fillId="3" borderId="92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8" fillId="5" borderId="77" xfId="0" applyFont="1" applyFill="1" applyBorder="1" applyAlignment="1">
      <alignment horizontal="center" textRotation="90"/>
    </xf>
    <xf numFmtId="0" fontId="28" fillId="5" borderId="18" xfId="0" applyFont="1" applyFill="1" applyBorder="1" applyAlignment="1">
      <alignment horizontal="center" textRotation="90"/>
    </xf>
    <xf numFmtId="0" fontId="28" fillId="5" borderId="79" xfId="0" applyFont="1" applyFill="1" applyBorder="1" applyAlignment="1">
      <alignment horizontal="center" textRotation="90"/>
    </xf>
    <xf numFmtId="0" fontId="23" fillId="0" borderId="4" xfId="0" applyFont="1" applyBorder="1" applyAlignment="1" applyProtection="1">
      <alignment horizontal="right" shrinkToFit="1"/>
      <protection locked="0"/>
    </xf>
    <xf numFmtId="0" fontId="23" fillId="0" borderId="51" xfId="0" applyFont="1" applyBorder="1" applyAlignment="1" applyProtection="1">
      <alignment horizontal="right" shrinkToFit="1"/>
      <protection locked="0"/>
    </xf>
    <xf numFmtId="0" fontId="23" fillId="0" borderId="1" xfId="0" applyFont="1" applyBorder="1" applyAlignment="1" applyProtection="1">
      <alignment horizontal="left" shrinkToFit="1"/>
      <protection locked="0"/>
    </xf>
    <xf numFmtId="0" fontId="23" fillId="0" borderId="82" xfId="0" applyFont="1" applyBorder="1" applyAlignment="1" applyProtection="1">
      <alignment horizontal="left" shrinkToFit="1"/>
      <protection locked="0"/>
    </xf>
    <xf numFmtId="0" fontId="2" fillId="3" borderId="83" xfId="0" applyFont="1" applyFill="1" applyBorder="1" applyAlignment="1">
      <alignment horizontal="center" vertical="center"/>
    </xf>
    <xf numFmtId="0" fontId="2" fillId="3" borderId="95" xfId="0" applyFont="1" applyFill="1" applyBorder="1" applyAlignment="1">
      <alignment horizontal="center" vertical="center"/>
    </xf>
    <xf numFmtId="0" fontId="2" fillId="3" borderId="96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2" fillId="0" borderId="50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3" fillId="0" borderId="4" xfId="0" applyFont="1" applyBorder="1" applyAlignment="1" applyProtection="1">
      <alignment horizontal="left" shrinkToFit="1"/>
      <protection locked="0"/>
    </xf>
    <xf numFmtId="0" fontId="23" fillId="0" borderId="51" xfId="0" applyFont="1" applyBorder="1" applyAlignment="1" applyProtection="1">
      <alignment horizontal="left" shrinkToFit="1"/>
      <protection locked="0"/>
    </xf>
    <xf numFmtId="0" fontId="3" fillId="0" borderId="52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2" fillId="3" borderId="93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9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/>
      <protection locked="0"/>
    </xf>
    <xf numFmtId="0" fontId="2" fillId="0" borderId="91" xfId="0" applyFont="1" applyBorder="1" applyAlignment="1">
      <alignment horizontal="center" vertical="center"/>
    </xf>
    <xf numFmtId="49" fontId="1" fillId="0" borderId="90" xfId="0" applyNumberFormat="1" applyFont="1" applyBorder="1" applyAlignment="1" applyProtection="1">
      <alignment horizontal="center" vertical="center"/>
      <protection locked="0"/>
    </xf>
    <xf numFmtId="0" fontId="23" fillId="0" borderId="48" xfId="0" applyFont="1" applyBorder="1" applyAlignment="1" applyProtection="1">
      <alignment horizontal="left"/>
      <protection locked="0"/>
    </xf>
    <xf numFmtId="0" fontId="22" fillId="0" borderId="44" xfId="0" applyFont="1" applyBorder="1" applyAlignment="1">
      <alignment horizontal="left"/>
    </xf>
    <xf numFmtId="0" fontId="22" fillId="0" borderId="59" xfId="0" applyFont="1" applyBorder="1" applyAlignment="1">
      <alignment horizontal="left"/>
    </xf>
    <xf numFmtId="0" fontId="1" fillId="0" borderId="86" xfId="0" applyFont="1" applyBorder="1" applyAlignment="1" applyProtection="1">
      <alignment horizontal="left" vertical="center"/>
      <protection locked="0"/>
    </xf>
    <xf numFmtId="0" fontId="1" fillId="0" borderId="43" xfId="0" applyFont="1" applyBorder="1" applyAlignment="1" applyProtection="1">
      <alignment horizontal="left" vertical="center"/>
      <protection locked="0"/>
    </xf>
    <xf numFmtId="0" fontId="1" fillId="0" borderId="87" xfId="0" applyFont="1" applyBorder="1" applyAlignment="1" applyProtection="1">
      <alignment horizontal="left" vertical="center"/>
      <protection locked="0"/>
    </xf>
    <xf numFmtId="0" fontId="15" fillId="3" borderId="43" xfId="0" applyFont="1" applyFill="1" applyBorder="1" applyAlignment="1">
      <alignment horizontal="center" vertical="center" textRotation="90"/>
    </xf>
    <xf numFmtId="0" fontId="15" fillId="3" borderId="32" xfId="0" applyFont="1" applyFill="1" applyBorder="1" applyAlignment="1">
      <alignment horizontal="center" vertical="center" textRotation="90"/>
    </xf>
    <xf numFmtId="0" fontId="16" fillId="3" borderId="59" xfId="0" applyFont="1" applyFill="1" applyBorder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6" fillId="3" borderId="57" xfId="0" applyFont="1" applyFill="1" applyBorder="1" applyAlignment="1">
      <alignment horizontal="center" vertical="center" textRotation="90"/>
    </xf>
    <xf numFmtId="0" fontId="15" fillId="3" borderId="1" xfId="0" applyFont="1" applyFill="1" applyBorder="1" applyAlignment="1">
      <alignment horizontal="center" vertical="center" textRotation="90"/>
    </xf>
    <xf numFmtId="0" fontId="15" fillId="3" borderId="4" xfId="0" applyFont="1" applyFill="1" applyBorder="1" applyAlignment="1">
      <alignment horizontal="center" vertical="center" textRotation="90"/>
    </xf>
    <xf numFmtId="0" fontId="15" fillId="3" borderId="54" xfId="0" applyFont="1" applyFill="1" applyBorder="1" applyAlignment="1">
      <alignment horizontal="center" vertical="center" textRotation="90"/>
    </xf>
    <xf numFmtId="0" fontId="2" fillId="0" borderId="1" xfId="0" applyFont="1" applyBorder="1" applyAlignment="1" applyProtection="1">
      <alignment horizontal="left"/>
      <protection locked="0"/>
    </xf>
    <xf numFmtId="0" fontId="28" fillId="5" borderId="32" xfId="0" applyFont="1" applyFill="1" applyBorder="1" applyAlignment="1">
      <alignment horizontal="center" vertical="center" textRotation="90"/>
    </xf>
    <xf numFmtId="0" fontId="2" fillId="3" borderId="6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88" xfId="0" applyFont="1" applyBorder="1" applyAlignment="1">
      <alignment horizontal="left" vertical="center"/>
    </xf>
    <xf numFmtId="0" fontId="1" fillId="0" borderId="89" xfId="0" applyFont="1" applyBorder="1" applyAlignment="1">
      <alignment horizontal="left" vertical="center"/>
    </xf>
    <xf numFmtId="0" fontId="1" fillId="0" borderId="90" xfId="0" applyFont="1" applyBorder="1" applyAlignment="1">
      <alignment horizontal="left" vertical="center"/>
    </xf>
    <xf numFmtId="0" fontId="1" fillId="0" borderId="89" xfId="0" applyFont="1" applyBorder="1" applyAlignment="1" applyProtection="1">
      <alignment horizontal="left" vertical="center"/>
      <protection locked="0"/>
    </xf>
    <xf numFmtId="0" fontId="1" fillId="0" borderId="90" xfId="0" applyFont="1" applyBorder="1" applyAlignment="1" applyProtection="1">
      <alignment horizontal="left" vertical="center"/>
      <protection locked="0"/>
    </xf>
    <xf numFmtId="0" fontId="1" fillId="0" borderId="84" xfId="0" applyFont="1" applyBorder="1" applyAlignment="1" applyProtection="1">
      <alignment horizontal="left" vertical="center"/>
      <protection locked="0"/>
    </xf>
    <xf numFmtId="0" fontId="1" fillId="0" borderId="85" xfId="0" applyFont="1" applyBorder="1" applyAlignment="1" applyProtection="1">
      <alignment horizontal="left" vertical="center"/>
      <protection locked="0"/>
    </xf>
    <xf numFmtId="0" fontId="15" fillId="3" borderId="44" xfId="0" applyFont="1" applyFill="1" applyBorder="1" applyAlignment="1">
      <alignment horizontal="center" vertical="center" textRotation="90"/>
    </xf>
    <xf numFmtId="0" fontId="15" fillId="3" borderId="60" xfId="0" applyFont="1" applyFill="1" applyBorder="1" applyAlignment="1">
      <alignment horizontal="center" vertical="center" textRotation="90"/>
    </xf>
    <xf numFmtId="0" fontId="15" fillId="3" borderId="50" xfId="0" applyFont="1" applyFill="1" applyBorder="1" applyAlignment="1">
      <alignment horizontal="center" vertical="center" textRotation="90"/>
    </xf>
    <xf numFmtId="0" fontId="15" fillId="3" borderId="61" xfId="0" applyFont="1" applyFill="1" applyBorder="1" applyAlignment="1">
      <alignment horizontal="center" vertical="center" textRotation="90"/>
    </xf>
    <xf numFmtId="0" fontId="15" fillId="3" borderId="86" xfId="0" applyFont="1" applyFill="1" applyBorder="1" applyAlignment="1">
      <alignment horizontal="center" vertical="center" textRotation="90"/>
    </xf>
    <xf numFmtId="0" fontId="15" fillId="3" borderId="87" xfId="0" applyFont="1" applyFill="1" applyBorder="1" applyAlignment="1">
      <alignment horizontal="center" vertical="center" textRotation="90"/>
    </xf>
    <xf numFmtId="164" fontId="23" fillId="0" borderId="1" xfId="0" applyNumberFormat="1" applyFont="1" applyBorder="1" applyAlignment="1" applyProtection="1">
      <alignment horizontal="left" vertical="center" shrinkToFit="1"/>
      <protection locked="0"/>
    </xf>
    <xf numFmtId="164" fontId="23" fillId="0" borderId="82" xfId="0" applyNumberFormat="1" applyFont="1" applyBorder="1" applyAlignment="1" applyProtection="1">
      <alignment horizontal="left" vertical="center" shrinkToFit="1"/>
      <protection locked="0"/>
    </xf>
    <xf numFmtId="0" fontId="23" fillId="0" borderId="4" xfId="0" applyFont="1" applyBorder="1" applyAlignment="1" applyProtection="1">
      <alignment horizontal="left"/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16" fillId="3" borderId="86" xfId="0" applyFont="1" applyFill="1" applyBorder="1" applyAlignment="1">
      <alignment horizontal="center" vertical="center" textRotation="90"/>
    </xf>
    <xf numFmtId="0" fontId="16" fillId="3" borderId="87" xfId="0" applyFont="1" applyFill="1" applyBorder="1" applyAlignment="1">
      <alignment horizontal="center" vertical="center" textRotation="90"/>
    </xf>
    <xf numFmtId="0" fontId="16" fillId="3" borderId="88" xfId="0" applyFont="1" applyFill="1" applyBorder="1" applyAlignment="1">
      <alignment horizontal="center" vertical="center" textRotation="90"/>
    </xf>
    <xf numFmtId="0" fontId="16" fillId="3" borderId="90" xfId="0" applyFont="1" applyFill="1" applyBorder="1" applyAlignment="1">
      <alignment horizontal="center" vertical="center" textRotation="90"/>
    </xf>
    <xf numFmtId="0" fontId="1" fillId="0" borderId="83" xfId="0" applyFont="1" applyBorder="1" applyAlignment="1" applyProtection="1">
      <alignment horizontal="left" vertical="center"/>
      <protection locked="0"/>
    </xf>
    <xf numFmtId="0" fontId="1" fillId="0" borderId="88" xfId="0" applyFont="1" applyBorder="1" applyAlignment="1" applyProtection="1">
      <alignment horizontal="center" vertical="center"/>
      <protection locked="0"/>
    </xf>
    <xf numFmtId="49" fontId="1" fillId="0" borderId="87" xfId="0" applyNumberFormat="1" applyFont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center"/>
    </xf>
    <xf numFmtId="14" fontId="20" fillId="2" borderId="27" xfId="0" applyNumberFormat="1" applyFont="1" applyFill="1" applyBorder="1" applyAlignment="1">
      <alignment horizontal="center"/>
    </xf>
    <xf numFmtId="0" fontId="20" fillId="2" borderId="27" xfId="0" applyFont="1" applyFill="1" applyBorder="1" applyAlignment="1">
      <alignment horizontal="center"/>
    </xf>
    <xf numFmtId="0" fontId="19" fillId="2" borderId="27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18" fillId="4" borderId="44" xfId="0" applyFont="1" applyFill="1" applyBorder="1" applyAlignment="1">
      <alignment horizontal="center" vertical="center"/>
    </xf>
    <xf numFmtId="0" fontId="18" fillId="4" borderId="59" xfId="0" applyFont="1" applyFill="1" applyBorder="1" applyAlignment="1">
      <alignment horizontal="center" vertical="center"/>
    </xf>
    <xf numFmtId="0" fontId="18" fillId="4" borderId="60" xfId="0" applyFont="1" applyFill="1" applyBorder="1" applyAlignment="1">
      <alignment horizontal="center" vertical="center"/>
    </xf>
    <xf numFmtId="0" fontId="18" fillId="4" borderId="50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4" borderId="6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61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58" xfId="0" applyFont="1" applyFill="1" applyBorder="1" applyAlignment="1">
      <alignment horizontal="center" vertical="center"/>
    </xf>
    <xf numFmtId="0" fontId="21" fillId="2" borderId="50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52" xfId="0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61</xdr:row>
      <xdr:rowOff>133348</xdr:rowOff>
    </xdr:from>
    <xdr:to>
      <xdr:col>11</xdr:col>
      <xdr:colOff>19500</xdr:colOff>
      <xdr:row>68</xdr:row>
      <xdr:rowOff>86173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55028" y="9520400"/>
          <a:ext cx="948351" cy="1056411"/>
          <a:chOff x="571500" y="11153774"/>
          <a:chExt cx="972000" cy="972000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571500" y="11153774"/>
            <a:ext cx="972000" cy="97200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238250" y="11525249"/>
            <a:ext cx="142875" cy="15284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13</xdr:col>
      <xdr:colOff>95250</xdr:colOff>
      <xdr:row>61</xdr:row>
      <xdr:rowOff>133348</xdr:rowOff>
    </xdr:from>
    <xdr:to>
      <xdr:col>22</xdr:col>
      <xdr:colOff>38550</xdr:colOff>
      <xdr:row>68</xdr:row>
      <xdr:rowOff>86173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402474" y="9520400"/>
          <a:ext cx="948352" cy="1056411"/>
          <a:chOff x="1847850" y="11153774"/>
          <a:chExt cx="972000" cy="972000"/>
        </a:xfrm>
      </xdr:grpSpPr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847850" y="11153774"/>
            <a:ext cx="972000" cy="97200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028825" y="11525249"/>
            <a:ext cx="142875" cy="15284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 editAs="oneCell">
    <xdr:from>
      <xdr:col>26</xdr:col>
      <xdr:colOff>32844</xdr:colOff>
      <xdr:row>4</xdr:row>
      <xdr:rowOff>105104</xdr:rowOff>
    </xdr:from>
    <xdr:to>
      <xdr:col>30</xdr:col>
      <xdr:colOff>101602</xdr:colOff>
      <xdr:row>5</xdr:row>
      <xdr:rowOff>28156</xdr:rowOff>
    </xdr:to>
    <xdr:pic>
      <xdr:nvPicPr>
        <xdr:cNvPr id="9" name="Imagem 8" descr="Logo Optometria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42896" y="827690"/>
          <a:ext cx="461845" cy="585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61</xdr:row>
      <xdr:rowOff>133348</xdr:rowOff>
    </xdr:from>
    <xdr:to>
      <xdr:col>11</xdr:col>
      <xdr:colOff>19500</xdr:colOff>
      <xdr:row>68</xdr:row>
      <xdr:rowOff>86173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201010" y="8929193"/>
          <a:ext cx="948352" cy="990721"/>
          <a:chOff x="571500" y="11153774"/>
          <a:chExt cx="972000" cy="972000"/>
        </a:xfrm>
      </xdr:grpSpPr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571500" y="11153774"/>
            <a:ext cx="972000" cy="97200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238250" y="11525249"/>
            <a:ext cx="142875" cy="15284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13</xdr:col>
      <xdr:colOff>95250</xdr:colOff>
      <xdr:row>61</xdr:row>
      <xdr:rowOff>133348</xdr:rowOff>
    </xdr:from>
    <xdr:to>
      <xdr:col>22</xdr:col>
      <xdr:colOff>38550</xdr:colOff>
      <xdr:row>68</xdr:row>
      <xdr:rowOff>86173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448457" y="8929193"/>
          <a:ext cx="948352" cy="990721"/>
          <a:chOff x="1847850" y="11153774"/>
          <a:chExt cx="972000" cy="972000"/>
        </a:xfrm>
      </xdr:grpSpPr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847850" y="11153774"/>
            <a:ext cx="972000" cy="97200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028825" y="11525249"/>
            <a:ext cx="142875" cy="15284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 editAs="oneCell">
    <xdr:from>
      <xdr:col>26</xdr:col>
      <xdr:colOff>59532</xdr:colOff>
      <xdr:row>4</xdr:row>
      <xdr:rowOff>18256</xdr:rowOff>
    </xdr:from>
    <xdr:to>
      <xdr:col>31</xdr:col>
      <xdr:colOff>8998</xdr:colOff>
      <xdr:row>9</xdr:row>
      <xdr:rowOff>84931</xdr:rowOff>
    </xdr:to>
    <xdr:pic>
      <xdr:nvPicPr>
        <xdr:cNvPr id="11" name="Imagem 10" descr="Logo Optometria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69584" y="504359"/>
          <a:ext cx="461845" cy="585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101858</xdr:colOff>
      <xdr:row>2</xdr:row>
      <xdr:rowOff>33133</xdr:rowOff>
    </xdr:from>
    <xdr:to>
      <xdr:col>43</xdr:col>
      <xdr:colOff>76895</xdr:colOff>
      <xdr:row>5</xdr:row>
      <xdr:rowOff>70008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3530858" y="171081"/>
          <a:ext cx="1315106" cy="660927"/>
          <a:chOff x="9738104" y="13733858"/>
          <a:chExt cx="1372516" cy="661033"/>
        </a:xfrm>
      </xdr:grpSpPr>
      <xdr:sp macro="" textlink="">
        <xdr:nvSpPr>
          <xdr:cNvPr id="19" name="Forma livr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9738104" y="13733858"/>
            <a:ext cx="1372516" cy="661033"/>
          </a:xfrm>
          <a:custGeom>
            <a:avLst/>
            <a:gdLst>
              <a:gd name="connsiteX0" fmla="*/ 22678 w 1375833"/>
              <a:gd name="connsiteY0" fmla="*/ 363613 h 645583"/>
              <a:gd name="connsiteX1" fmla="*/ 172356 w 1375833"/>
              <a:gd name="connsiteY1" fmla="*/ 150434 h 645583"/>
              <a:gd name="connsiteX2" fmla="*/ 467178 w 1375833"/>
              <a:gd name="connsiteY2" fmla="*/ 18899 h 645583"/>
              <a:gd name="connsiteX3" fmla="*/ 802821 w 1375833"/>
              <a:gd name="connsiteY3" fmla="*/ 37042 h 645583"/>
              <a:gd name="connsiteX4" fmla="*/ 1025071 w 1375833"/>
              <a:gd name="connsiteY4" fmla="*/ 150434 h 645583"/>
              <a:gd name="connsiteX5" fmla="*/ 1170214 w 1375833"/>
              <a:gd name="connsiteY5" fmla="*/ 313720 h 645583"/>
              <a:gd name="connsiteX6" fmla="*/ 1188356 w 1375833"/>
              <a:gd name="connsiteY6" fmla="*/ 345470 h 645583"/>
              <a:gd name="connsiteX7" fmla="*/ 1269999 w 1375833"/>
              <a:gd name="connsiteY7" fmla="*/ 390827 h 645583"/>
              <a:gd name="connsiteX8" fmla="*/ 1360714 w 1375833"/>
              <a:gd name="connsiteY8" fmla="*/ 486077 h 645583"/>
              <a:gd name="connsiteX9" fmla="*/ 1356178 w 1375833"/>
              <a:gd name="connsiteY9" fmla="*/ 522363 h 645583"/>
              <a:gd name="connsiteX10" fmla="*/ 1242785 w 1375833"/>
              <a:gd name="connsiteY10" fmla="*/ 531434 h 645583"/>
              <a:gd name="connsiteX11" fmla="*/ 1188356 w 1375833"/>
              <a:gd name="connsiteY11" fmla="*/ 504220 h 645583"/>
              <a:gd name="connsiteX12" fmla="*/ 1111249 w 1375833"/>
              <a:gd name="connsiteY12" fmla="*/ 540506 h 645583"/>
              <a:gd name="connsiteX13" fmla="*/ 852714 w 1375833"/>
              <a:gd name="connsiteY13" fmla="*/ 613077 h 645583"/>
              <a:gd name="connsiteX14" fmla="*/ 576035 w 1375833"/>
              <a:gd name="connsiteY14" fmla="*/ 644827 h 645583"/>
              <a:gd name="connsiteX15" fmla="*/ 312964 w 1375833"/>
              <a:gd name="connsiteY15" fmla="*/ 608542 h 645583"/>
              <a:gd name="connsiteX16" fmla="*/ 149678 w 1375833"/>
              <a:gd name="connsiteY16" fmla="*/ 517827 h 645583"/>
              <a:gd name="connsiteX17" fmla="*/ 36285 w 1375833"/>
              <a:gd name="connsiteY17" fmla="*/ 418042 h 645583"/>
              <a:gd name="connsiteX18" fmla="*/ 22678 w 1375833"/>
              <a:gd name="connsiteY18" fmla="*/ 363613 h 645583"/>
              <a:gd name="connsiteX0" fmla="*/ 18765 w 1371920"/>
              <a:gd name="connsiteY0" fmla="*/ 363613 h 645583"/>
              <a:gd name="connsiteX1" fmla="*/ 168443 w 1371920"/>
              <a:gd name="connsiteY1" fmla="*/ 150434 h 645583"/>
              <a:gd name="connsiteX2" fmla="*/ 463265 w 1371920"/>
              <a:gd name="connsiteY2" fmla="*/ 18899 h 645583"/>
              <a:gd name="connsiteX3" fmla="*/ 798908 w 1371920"/>
              <a:gd name="connsiteY3" fmla="*/ 37042 h 645583"/>
              <a:gd name="connsiteX4" fmla="*/ 1021158 w 1371920"/>
              <a:gd name="connsiteY4" fmla="*/ 150434 h 645583"/>
              <a:gd name="connsiteX5" fmla="*/ 1166301 w 1371920"/>
              <a:gd name="connsiteY5" fmla="*/ 313720 h 645583"/>
              <a:gd name="connsiteX6" fmla="*/ 1184443 w 1371920"/>
              <a:gd name="connsiteY6" fmla="*/ 345470 h 645583"/>
              <a:gd name="connsiteX7" fmla="*/ 1266086 w 1371920"/>
              <a:gd name="connsiteY7" fmla="*/ 390827 h 645583"/>
              <a:gd name="connsiteX8" fmla="*/ 1356801 w 1371920"/>
              <a:gd name="connsiteY8" fmla="*/ 486077 h 645583"/>
              <a:gd name="connsiteX9" fmla="*/ 1352265 w 1371920"/>
              <a:gd name="connsiteY9" fmla="*/ 522363 h 645583"/>
              <a:gd name="connsiteX10" fmla="*/ 1238872 w 1371920"/>
              <a:gd name="connsiteY10" fmla="*/ 531434 h 645583"/>
              <a:gd name="connsiteX11" fmla="*/ 1184443 w 1371920"/>
              <a:gd name="connsiteY11" fmla="*/ 504220 h 645583"/>
              <a:gd name="connsiteX12" fmla="*/ 1107336 w 1371920"/>
              <a:gd name="connsiteY12" fmla="*/ 540506 h 645583"/>
              <a:gd name="connsiteX13" fmla="*/ 848801 w 1371920"/>
              <a:gd name="connsiteY13" fmla="*/ 613077 h 645583"/>
              <a:gd name="connsiteX14" fmla="*/ 572122 w 1371920"/>
              <a:gd name="connsiteY14" fmla="*/ 644827 h 645583"/>
              <a:gd name="connsiteX15" fmla="*/ 309051 w 1371920"/>
              <a:gd name="connsiteY15" fmla="*/ 608542 h 645583"/>
              <a:gd name="connsiteX16" fmla="*/ 145765 w 1371920"/>
              <a:gd name="connsiteY16" fmla="*/ 517827 h 645583"/>
              <a:gd name="connsiteX17" fmla="*/ 55851 w 1371920"/>
              <a:gd name="connsiteY17" fmla="*/ 444708 h 645583"/>
              <a:gd name="connsiteX18" fmla="*/ 18765 w 1371920"/>
              <a:gd name="connsiteY18" fmla="*/ 363613 h 645583"/>
              <a:gd name="connsiteX0" fmla="*/ 18765 w 1371920"/>
              <a:gd name="connsiteY0" fmla="*/ 363613 h 647487"/>
              <a:gd name="connsiteX1" fmla="*/ 168443 w 1371920"/>
              <a:gd name="connsiteY1" fmla="*/ 150434 h 647487"/>
              <a:gd name="connsiteX2" fmla="*/ 463265 w 1371920"/>
              <a:gd name="connsiteY2" fmla="*/ 18899 h 647487"/>
              <a:gd name="connsiteX3" fmla="*/ 798908 w 1371920"/>
              <a:gd name="connsiteY3" fmla="*/ 37042 h 647487"/>
              <a:gd name="connsiteX4" fmla="*/ 1021158 w 1371920"/>
              <a:gd name="connsiteY4" fmla="*/ 150434 h 647487"/>
              <a:gd name="connsiteX5" fmla="*/ 1166301 w 1371920"/>
              <a:gd name="connsiteY5" fmla="*/ 313720 h 647487"/>
              <a:gd name="connsiteX6" fmla="*/ 1184443 w 1371920"/>
              <a:gd name="connsiteY6" fmla="*/ 345470 h 647487"/>
              <a:gd name="connsiteX7" fmla="*/ 1266086 w 1371920"/>
              <a:gd name="connsiteY7" fmla="*/ 390827 h 647487"/>
              <a:gd name="connsiteX8" fmla="*/ 1356801 w 1371920"/>
              <a:gd name="connsiteY8" fmla="*/ 486077 h 647487"/>
              <a:gd name="connsiteX9" fmla="*/ 1352265 w 1371920"/>
              <a:gd name="connsiteY9" fmla="*/ 522363 h 647487"/>
              <a:gd name="connsiteX10" fmla="*/ 1238872 w 1371920"/>
              <a:gd name="connsiteY10" fmla="*/ 531434 h 647487"/>
              <a:gd name="connsiteX11" fmla="*/ 1184443 w 1371920"/>
              <a:gd name="connsiteY11" fmla="*/ 504220 h 647487"/>
              <a:gd name="connsiteX12" fmla="*/ 1107336 w 1371920"/>
              <a:gd name="connsiteY12" fmla="*/ 540506 h 647487"/>
              <a:gd name="connsiteX13" fmla="*/ 848801 w 1371920"/>
              <a:gd name="connsiteY13" fmla="*/ 613077 h 647487"/>
              <a:gd name="connsiteX14" fmla="*/ 572122 w 1371920"/>
              <a:gd name="connsiteY14" fmla="*/ 644827 h 647487"/>
              <a:gd name="connsiteX15" fmla="*/ 350141 w 1371920"/>
              <a:gd name="connsiteY15" fmla="*/ 626320 h 647487"/>
              <a:gd name="connsiteX16" fmla="*/ 145765 w 1371920"/>
              <a:gd name="connsiteY16" fmla="*/ 517827 h 647487"/>
              <a:gd name="connsiteX17" fmla="*/ 55851 w 1371920"/>
              <a:gd name="connsiteY17" fmla="*/ 444708 h 647487"/>
              <a:gd name="connsiteX18" fmla="*/ 18765 w 1371920"/>
              <a:gd name="connsiteY18" fmla="*/ 363613 h 647487"/>
              <a:gd name="connsiteX0" fmla="*/ 18765 w 1371164"/>
              <a:gd name="connsiteY0" fmla="*/ 363613 h 647487"/>
              <a:gd name="connsiteX1" fmla="*/ 168443 w 1371164"/>
              <a:gd name="connsiteY1" fmla="*/ 150434 h 647487"/>
              <a:gd name="connsiteX2" fmla="*/ 463265 w 1371164"/>
              <a:gd name="connsiteY2" fmla="*/ 18899 h 647487"/>
              <a:gd name="connsiteX3" fmla="*/ 798908 w 1371164"/>
              <a:gd name="connsiteY3" fmla="*/ 37042 h 647487"/>
              <a:gd name="connsiteX4" fmla="*/ 1021158 w 1371164"/>
              <a:gd name="connsiteY4" fmla="*/ 150434 h 647487"/>
              <a:gd name="connsiteX5" fmla="*/ 1166301 w 1371164"/>
              <a:gd name="connsiteY5" fmla="*/ 313720 h 647487"/>
              <a:gd name="connsiteX6" fmla="*/ 1184443 w 1371164"/>
              <a:gd name="connsiteY6" fmla="*/ 345470 h 647487"/>
              <a:gd name="connsiteX7" fmla="*/ 1266086 w 1371164"/>
              <a:gd name="connsiteY7" fmla="*/ 390827 h 647487"/>
              <a:gd name="connsiteX8" fmla="*/ 1356801 w 1371164"/>
              <a:gd name="connsiteY8" fmla="*/ 486077 h 647487"/>
              <a:gd name="connsiteX9" fmla="*/ 1352265 w 1371164"/>
              <a:gd name="connsiteY9" fmla="*/ 522363 h 647487"/>
              <a:gd name="connsiteX10" fmla="*/ 1274092 w 1371164"/>
              <a:gd name="connsiteY10" fmla="*/ 531434 h 647487"/>
              <a:gd name="connsiteX11" fmla="*/ 1184443 w 1371164"/>
              <a:gd name="connsiteY11" fmla="*/ 504220 h 647487"/>
              <a:gd name="connsiteX12" fmla="*/ 1107336 w 1371164"/>
              <a:gd name="connsiteY12" fmla="*/ 540506 h 647487"/>
              <a:gd name="connsiteX13" fmla="*/ 848801 w 1371164"/>
              <a:gd name="connsiteY13" fmla="*/ 613077 h 647487"/>
              <a:gd name="connsiteX14" fmla="*/ 572122 w 1371164"/>
              <a:gd name="connsiteY14" fmla="*/ 644827 h 647487"/>
              <a:gd name="connsiteX15" fmla="*/ 350141 w 1371164"/>
              <a:gd name="connsiteY15" fmla="*/ 626320 h 647487"/>
              <a:gd name="connsiteX16" fmla="*/ 145765 w 1371164"/>
              <a:gd name="connsiteY16" fmla="*/ 517827 h 647487"/>
              <a:gd name="connsiteX17" fmla="*/ 55851 w 1371164"/>
              <a:gd name="connsiteY17" fmla="*/ 444708 h 647487"/>
              <a:gd name="connsiteX18" fmla="*/ 18765 w 1371164"/>
              <a:gd name="connsiteY18" fmla="*/ 363613 h 647487"/>
              <a:gd name="connsiteX0" fmla="*/ 18765 w 1366762"/>
              <a:gd name="connsiteY0" fmla="*/ 363613 h 647487"/>
              <a:gd name="connsiteX1" fmla="*/ 168443 w 1366762"/>
              <a:gd name="connsiteY1" fmla="*/ 150434 h 647487"/>
              <a:gd name="connsiteX2" fmla="*/ 463265 w 1366762"/>
              <a:gd name="connsiteY2" fmla="*/ 18899 h 647487"/>
              <a:gd name="connsiteX3" fmla="*/ 798908 w 1366762"/>
              <a:gd name="connsiteY3" fmla="*/ 37042 h 647487"/>
              <a:gd name="connsiteX4" fmla="*/ 1021158 w 1366762"/>
              <a:gd name="connsiteY4" fmla="*/ 150434 h 647487"/>
              <a:gd name="connsiteX5" fmla="*/ 1166301 w 1366762"/>
              <a:gd name="connsiteY5" fmla="*/ 313720 h 647487"/>
              <a:gd name="connsiteX6" fmla="*/ 1184443 w 1366762"/>
              <a:gd name="connsiteY6" fmla="*/ 345470 h 647487"/>
              <a:gd name="connsiteX7" fmla="*/ 1292501 w 1366762"/>
              <a:gd name="connsiteY7" fmla="*/ 414531 h 647487"/>
              <a:gd name="connsiteX8" fmla="*/ 1356801 w 1366762"/>
              <a:gd name="connsiteY8" fmla="*/ 486077 h 647487"/>
              <a:gd name="connsiteX9" fmla="*/ 1352265 w 1366762"/>
              <a:gd name="connsiteY9" fmla="*/ 522363 h 647487"/>
              <a:gd name="connsiteX10" fmla="*/ 1274092 w 1366762"/>
              <a:gd name="connsiteY10" fmla="*/ 531434 h 647487"/>
              <a:gd name="connsiteX11" fmla="*/ 1184443 w 1366762"/>
              <a:gd name="connsiteY11" fmla="*/ 504220 h 647487"/>
              <a:gd name="connsiteX12" fmla="*/ 1107336 w 1366762"/>
              <a:gd name="connsiteY12" fmla="*/ 540506 h 647487"/>
              <a:gd name="connsiteX13" fmla="*/ 848801 w 1366762"/>
              <a:gd name="connsiteY13" fmla="*/ 613077 h 647487"/>
              <a:gd name="connsiteX14" fmla="*/ 572122 w 1366762"/>
              <a:gd name="connsiteY14" fmla="*/ 644827 h 647487"/>
              <a:gd name="connsiteX15" fmla="*/ 350141 w 1366762"/>
              <a:gd name="connsiteY15" fmla="*/ 626320 h 647487"/>
              <a:gd name="connsiteX16" fmla="*/ 145765 w 1366762"/>
              <a:gd name="connsiteY16" fmla="*/ 517827 h 647487"/>
              <a:gd name="connsiteX17" fmla="*/ 55851 w 1366762"/>
              <a:gd name="connsiteY17" fmla="*/ 444708 h 647487"/>
              <a:gd name="connsiteX18" fmla="*/ 18765 w 1366762"/>
              <a:gd name="connsiteY18" fmla="*/ 363613 h 647487"/>
              <a:gd name="connsiteX0" fmla="*/ 18765 w 1366762"/>
              <a:gd name="connsiteY0" fmla="*/ 363613 h 647487"/>
              <a:gd name="connsiteX1" fmla="*/ 168443 w 1366762"/>
              <a:gd name="connsiteY1" fmla="*/ 150434 h 647487"/>
              <a:gd name="connsiteX2" fmla="*/ 463265 w 1366762"/>
              <a:gd name="connsiteY2" fmla="*/ 18899 h 647487"/>
              <a:gd name="connsiteX3" fmla="*/ 798908 w 1366762"/>
              <a:gd name="connsiteY3" fmla="*/ 37042 h 647487"/>
              <a:gd name="connsiteX4" fmla="*/ 1021158 w 1366762"/>
              <a:gd name="connsiteY4" fmla="*/ 150434 h 647487"/>
              <a:gd name="connsiteX5" fmla="*/ 1166301 w 1366762"/>
              <a:gd name="connsiteY5" fmla="*/ 313720 h 647487"/>
              <a:gd name="connsiteX6" fmla="*/ 1196182 w 1366762"/>
              <a:gd name="connsiteY6" fmla="*/ 351396 h 647487"/>
              <a:gd name="connsiteX7" fmla="*/ 1292501 w 1366762"/>
              <a:gd name="connsiteY7" fmla="*/ 414531 h 647487"/>
              <a:gd name="connsiteX8" fmla="*/ 1356801 w 1366762"/>
              <a:gd name="connsiteY8" fmla="*/ 486077 h 647487"/>
              <a:gd name="connsiteX9" fmla="*/ 1352265 w 1366762"/>
              <a:gd name="connsiteY9" fmla="*/ 522363 h 647487"/>
              <a:gd name="connsiteX10" fmla="*/ 1274092 w 1366762"/>
              <a:gd name="connsiteY10" fmla="*/ 531434 h 647487"/>
              <a:gd name="connsiteX11" fmla="*/ 1184443 w 1366762"/>
              <a:gd name="connsiteY11" fmla="*/ 504220 h 647487"/>
              <a:gd name="connsiteX12" fmla="*/ 1107336 w 1366762"/>
              <a:gd name="connsiteY12" fmla="*/ 540506 h 647487"/>
              <a:gd name="connsiteX13" fmla="*/ 848801 w 1366762"/>
              <a:gd name="connsiteY13" fmla="*/ 613077 h 647487"/>
              <a:gd name="connsiteX14" fmla="*/ 572122 w 1366762"/>
              <a:gd name="connsiteY14" fmla="*/ 644827 h 647487"/>
              <a:gd name="connsiteX15" fmla="*/ 350141 w 1366762"/>
              <a:gd name="connsiteY15" fmla="*/ 626320 h 647487"/>
              <a:gd name="connsiteX16" fmla="*/ 145765 w 1366762"/>
              <a:gd name="connsiteY16" fmla="*/ 517827 h 647487"/>
              <a:gd name="connsiteX17" fmla="*/ 55851 w 1366762"/>
              <a:gd name="connsiteY17" fmla="*/ 444708 h 647487"/>
              <a:gd name="connsiteX18" fmla="*/ 18765 w 1366762"/>
              <a:gd name="connsiteY18" fmla="*/ 363613 h 647487"/>
              <a:gd name="connsiteX0" fmla="*/ 18765 w 1366762"/>
              <a:gd name="connsiteY0" fmla="*/ 363613 h 655923"/>
              <a:gd name="connsiteX1" fmla="*/ 168443 w 1366762"/>
              <a:gd name="connsiteY1" fmla="*/ 150434 h 655923"/>
              <a:gd name="connsiteX2" fmla="*/ 463265 w 1366762"/>
              <a:gd name="connsiteY2" fmla="*/ 18899 h 655923"/>
              <a:gd name="connsiteX3" fmla="*/ 798908 w 1366762"/>
              <a:gd name="connsiteY3" fmla="*/ 37042 h 655923"/>
              <a:gd name="connsiteX4" fmla="*/ 1021158 w 1366762"/>
              <a:gd name="connsiteY4" fmla="*/ 150434 h 655923"/>
              <a:gd name="connsiteX5" fmla="*/ 1166301 w 1366762"/>
              <a:gd name="connsiteY5" fmla="*/ 313720 h 655923"/>
              <a:gd name="connsiteX6" fmla="*/ 1196182 w 1366762"/>
              <a:gd name="connsiteY6" fmla="*/ 351396 h 655923"/>
              <a:gd name="connsiteX7" fmla="*/ 1292501 w 1366762"/>
              <a:gd name="connsiteY7" fmla="*/ 414531 h 655923"/>
              <a:gd name="connsiteX8" fmla="*/ 1356801 w 1366762"/>
              <a:gd name="connsiteY8" fmla="*/ 486077 h 655923"/>
              <a:gd name="connsiteX9" fmla="*/ 1352265 w 1366762"/>
              <a:gd name="connsiteY9" fmla="*/ 522363 h 655923"/>
              <a:gd name="connsiteX10" fmla="*/ 1274092 w 1366762"/>
              <a:gd name="connsiteY10" fmla="*/ 531434 h 655923"/>
              <a:gd name="connsiteX11" fmla="*/ 1184443 w 1366762"/>
              <a:gd name="connsiteY11" fmla="*/ 504220 h 655923"/>
              <a:gd name="connsiteX12" fmla="*/ 1107336 w 1366762"/>
              <a:gd name="connsiteY12" fmla="*/ 540506 h 655923"/>
              <a:gd name="connsiteX13" fmla="*/ 848801 w 1366762"/>
              <a:gd name="connsiteY13" fmla="*/ 613077 h 655923"/>
              <a:gd name="connsiteX14" fmla="*/ 595602 w 1366762"/>
              <a:gd name="connsiteY14" fmla="*/ 653716 h 655923"/>
              <a:gd name="connsiteX15" fmla="*/ 350141 w 1366762"/>
              <a:gd name="connsiteY15" fmla="*/ 626320 h 655923"/>
              <a:gd name="connsiteX16" fmla="*/ 145765 w 1366762"/>
              <a:gd name="connsiteY16" fmla="*/ 517827 h 655923"/>
              <a:gd name="connsiteX17" fmla="*/ 55851 w 1366762"/>
              <a:gd name="connsiteY17" fmla="*/ 444708 h 655923"/>
              <a:gd name="connsiteX18" fmla="*/ 18765 w 1366762"/>
              <a:gd name="connsiteY18" fmla="*/ 363613 h 655923"/>
              <a:gd name="connsiteX0" fmla="*/ 16809 w 1364806"/>
              <a:gd name="connsiteY0" fmla="*/ 363613 h 655923"/>
              <a:gd name="connsiteX1" fmla="*/ 166487 w 1364806"/>
              <a:gd name="connsiteY1" fmla="*/ 150434 h 655923"/>
              <a:gd name="connsiteX2" fmla="*/ 461309 w 1364806"/>
              <a:gd name="connsiteY2" fmla="*/ 18899 h 655923"/>
              <a:gd name="connsiteX3" fmla="*/ 796952 w 1364806"/>
              <a:gd name="connsiteY3" fmla="*/ 37042 h 655923"/>
              <a:gd name="connsiteX4" fmla="*/ 1019202 w 1364806"/>
              <a:gd name="connsiteY4" fmla="*/ 150434 h 655923"/>
              <a:gd name="connsiteX5" fmla="*/ 1164345 w 1364806"/>
              <a:gd name="connsiteY5" fmla="*/ 313720 h 655923"/>
              <a:gd name="connsiteX6" fmla="*/ 1194226 w 1364806"/>
              <a:gd name="connsiteY6" fmla="*/ 351396 h 655923"/>
              <a:gd name="connsiteX7" fmla="*/ 1290545 w 1364806"/>
              <a:gd name="connsiteY7" fmla="*/ 414531 h 655923"/>
              <a:gd name="connsiteX8" fmla="*/ 1354845 w 1364806"/>
              <a:gd name="connsiteY8" fmla="*/ 486077 h 655923"/>
              <a:gd name="connsiteX9" fmla="*/ 1350309 w 1364806"/>
              <a:gd name="connsiteY9" fmla="*/ 522363 h 655923"/>
              <a:gd name="connsiteX10" fmla="*/ 1272136 w 1364806"/>
              <a:gd name="connsiteY10" fmla="*/ 531434 h 655923"/>
              <a:gd name="connsiteX11" fmla="*/ 1182487 w 1364806"/>
              <a:gd name="connsiteY11" fmla="*/ 504220 h 655923"/>
              <a:gd name="connsiteX12" fmla="*/ 1105380 w 1364806"/>
              <a:gd name="connsiteY12" fmla="*/ 540506 h 655923"/>
              <a:gd name="connsiteX13" fmla="*/ 846845 w 1364806"/>
              <a:gd name="connsiteY13" fmla="*/ 613077 h 655923"/>
              <a:gd name="connsiteX14" fmla="*/ 593646 w 1364806"/>
              <a:gd name="connsiteY14" fmla="*/ 653716 h 655923"/>
              <a:gd name="connsiteX15" fmla="*/ 348185 w 1364806"/>
              <a:gd name="connsiteY15" fmla="*/ 626320 h 655923"/>
              <a:gd name="connsiteX16" fmla="*/ 143809 w 1364806"/>
              <a:gd name="connsiteY16" fmla="*/ 517827 h 655923"/>
              <a:gd name="connsiteX17" fmla="*/ 65635 w 1364806"/>
              <a:gd name="connsiteY17" fmla="*/ 462486 h 655923"/>
              <a:gd name="connsiteX18" fmla="*/ 16809 w 1364806"/>
              <a:gd name="connsiteY18" fmla="*/ 363613 h 655923"/>
              <a:gd name="connsiteX0" fmla="*/ 16809 w 1364806"/>
              <a:gd name="connsiteY0" fmla="*/ 354724 h 655923"/>
              <a:gd name="connsiteX1" fmla="*/ 166487 w 1364806"/>
              <a:gd name="connsiteY1" fmla="*/ 150434 h 655923"/>
              <a:gd name="connsiteX2" fmla="*/ 461309 w 1364806"/>
              <a:gd name="connsiteY2" fmla="*/ 18899 h 655923"/>
              <a:gd name="connsiteX3" fmla="*/ 796952 w 1364806"/>
              <a:gd name="connsiteY3" fmla="*/ 37042 h 655923"/>
              <a:gd name="connsiteX4" fmla="*/ 1019202 w 1364806"/>
              <a:gd name="connsiteY4" fmla="*/ 150434 h 655923"/>
              <a:gd name="connsiteX5" fmla="*/ 1164345 w 1364806"/>
              <a:gd name="connsiteY5" fmla="*/ 313720 h 655923"/>
              <a:gd name="connsiteX6" fmla="*/ 1194226 w 1364806"/>
              <a:gd name="connsiteY6" fmla="*/ 351396 h 655923"/>
              <a:gd name="connsiteX7" fmla="*/ 1290545 w 1364806"/>
              <a:gd name="connsiteY7" fmla="*/ 414531 h 655923"/>
              <a:gd name="connsiteX8" fmla="*/ 1354845 w 1364806"/>
              <a:gd name="connsiteY8" fmla="*/ 486077 h 655923"/>
              <a:gd name="connsiteX9" fmla="*/ 1350309 w 1364806"/>
              <a:gd name="connsiteY9" fmla="*/ 522363 h 655923"/>
              <a:gd name="connsiteX10" fmla="*/ 1272136 w 1364806"/>
              <a:gd name="connsiteY10" fmla="*/ 531434 h 655923"/>
              <a:gd name="connsiteX11" fmla="*/ 1182487 w 1364806"/>
              <a:gd name="connsiteY11" fmla="*/ 504220 h 655923"/>
              <a:gd name="connsiteX12" fmla="*/ 1105380 w 1364806"/>
              <a:gd name="connsiteY12" fmla="*/ 540506 h 655923"/>
              <a:gd name="connsiteX13" fmla="*/ 846845 w 1364806"/>
              <a:gd name="connsiteY13" fmla="*/ 613077 h 655923"/>
              <a:gd name="connsiteX14" fmla="*/ 593646 w 1364806"/>
              <a:gd name="connsiteY14" fmla="*/ 653716 h 655923"/>
              <a:gd name="connsiteX15" fmla="*/ 348185 w 1364806"/>
              <a:gd name="connsiteY15" fmla="*/ 626320 h 655923"/>
              <a:gd name="connsiteX16" fmla="*/ 143809 w 1364806"/>
              <a:gd name="connsiteY16" fmla="*/ 517827 h 655923"/>
              <a:gd name="connsiteX17" fmla="*/ 65635 w 1364806"/>
              <a:gd name="connsiteY17" fmla="*/ 462486 h 655923"/>
              <a:gd name="connsiteX18" fmla="*/ 16809 w 1364806"/>
              <a:gd name="connsiteY18" fmla="*/ 354724 h 655923"/>
              <a:gd name="connsiteX0" fmla="*/ 16809 w 1364806"/>
              <a:gd name="connsiteY0" fmla="*/ 354724 h 655923"/>
              <a:gd name="connsiteX1" fmla="*/ 166487 w 1364806"/>
              <a:gd name="connsiteY1" fmla="*/ 150434 h 655923"/>
              <a:gd name="connsiteX2" fmla="*/ 461309 w 1364806"/>
              <a:gd name="connsiteY2" fmla="*/ 18899 h 655923"/>
              <a:gd name="connsiteX3" fmla="*/ 796952 w 1364806"/>
              <a:gd name="connsiteY3" fmla="*/ 37042 h 655923"/>
              <a:gd name="connsiteX4" fmla="*/ 1019202 w 1364806"/>
              <a:gd name="connsiteY4" fmla="*/ 150434 h 655923"/>
              <a:gd name="connsiteX5" fmla="*/ 1164345 w 1364806"/>
              <a:gd name="connsiteY5" fmla="*/ 313720 h 655923"/>
              <a:gd name="connsiteX6" fmla="*/ 1194226 w 1364806"/>
              <a:gd name="connsiteY6" fmla="*/ 351396 h 655923"/>
              <a:gd name="connsiteX7" fmla="*/ 1290545 w 1364806"/>
              <a:gd name="connsiteY7" fmla="*/ 414531 h 655923"/>
              <a:gd name="connsiteX8" fmla="*/ 1354845 w 1364806"/>
              <a:gd name="connsiteY8" fmla="*/ 486077 h 655923"/>
              <a:gd name="connsiteX9" fmla="*/ 1350309 w 1364806"/>
              <a:gd name="connsiteY9" fmla="*/ 522363 h 655923"/>
              <a:gd name="connsiteX10" fmla="*/ 1272136 w 1364806"/>
              <a:gd name="connsiteY10" fmla="*/ 531434 h 655923"/>
              <a:gd name="connsiteX11" fmla="*/ 1182487 w 1364806"/>
              <a:gd name="connsiteY11" fmla="*/ 504220 h 655923"/>
              <a:gd name="connsiteX12" fmla="*/ 1105380 w 1364806"/>
              <a:gd name="connsiteY12" fmla="*/ 540506 h 655923"/>
              <a:gd name="connsiteX13" fmla="*/ 846845 w 1364806"/>
              <a:gd name="connsiteY13" fmla="*/ 613077 h 655923"/>
              <a:gd name="connsiteX14" fmla="*/ 593646 w 1364806"/>
              <a:gd name="connsiteY14" fmla="*/ 653716 h 655923"/>
              <a:gd name="connsiteX15" fmla="*/ 348185 w 1364806"/>
              <a:gd name="connsiteY15" fmla="*/ 626320 h 655923"/>
              <a:gd name="connsiteX16" fmla="*/ 176094 w 1364806"/>
              <a:gd name="connsiteY16" fmla="*/ 547456 h 655923"/>
              <a:gd name="connsiteX17" fmla="*/ 65635 w 1364806"/>
              <a:gd name="connsiteY17" fmla="*/ 462486 h 655923"/>
              <a:gd name="connsiteX18" fmla="*/ 16809 w 1364806"/>
              <a:gd name="connsiteY18" fmla="*/ 354724 h 655923"/>
              <a:gd name="connsiteX0" fmla="*/ 16809 w 1364806"/>
              <a:gd name="connsiteY0" fmla="*/ 354724 h 655923"/>
              <a:gd name="connsiteX1" fmla="*/ 166487 w 1364806"/>
              <a:gd name="connsiteY1" fmla="*/ 150434 h 655923"/>
              <a:gd name="connsiteX2" fmla="*/ 461309 w 1364806"/>
              <a:gd name="connsiteY2" fmla="*/ 18899 h 655923"/>
              <a:gd name="connsiteX3" fmla="*/ 796952 w 1364806"/>
              <a:gd name="connsiteY3" fmla="*/ 37042 h 655923"/>
              <a:gd name="connsiteX4" fmla="*/ 1019202 w 1364806"/>
              <a:gd name="connsiteY4" fmla="*/ 150434 h 655923"/>
              <a:gd name="connsiteX5" fmla="*/ 1164345 w 1364806"/>
              <a:gd name="connsiteY5" fmla="*/ 313720 h 655923"/>
              <a:gd name="connsiteX6" fmla="*/ 1194226 w 1364806"/>
              <a:gd name="connsiteY6" fmla="*/ 351396 h 655923"/>
              <a:gd name="connsiteX7" fmla="*/ 1290545 w 1364806"/>
              <a:gd name="connsiteY7" fmla="*/ 414531 h 655923"/>
              <a:gd name="connsiteX8" fmla="*/ 1354845 w 1364806"/>
              <a:gd name="connsiteY8" fmla="*/ 486077 h 655923"/>
              <a:gd name="connsiteX9" fmla="*/ 1350309 w 1364806"/>
              <a:gd name="connsiteY9" fmla="*/ 522363 h 655923"/>
              <a:gd name="connsiteX10" fmla="*/ 1272136 w 1364806"/>
              <a:gd name="connsiteY10" fmla="*/ 531434 h 655923"/>
              <a:gd name="connsiteX11" fmla="*/ 1182487 w 1364806"/>
              <a:gd name="connsiteY11" fmla="*/ 504220 h 655923"/>
              <a:gd name="connsiteX12" fmla="*/ 1105380 w 1364806"/>
              <a:gd name="connsiteY12" fmla="*/ 540506 h 655923"/>
              <a:gd name="connsiteX13" fmla="*/ 846845 w 1364806"/>
              <a:gd name="connsiteY13" fmla="*/ 613077 h 655923"/>
              <a:gd name="connsiteX14" fmla="*/ 593646 w 1364806"/>
              <a:gd name="connsiteY14" fmla="*/ 653716 h 655923"/>
              <a:gd name="connsiteX15" fmla="*/ 348185 w 1364806"/>
              <a:gd name="connsiteY15" fmla="*/ 626320 h 655923"/>
              <a:gd name="connsiteX16" fmla="*/ 176094 w 1364806"/>
              <a:gd name="connsiteY16" fmla="*/ 547456 h 655923"/>
              <a:gd name="connsiteX17" fmla="*/ 65635 w 1364806"/>
              <a:gd name="connsiteY17" fmla="*/ 462486 h 655923"/>
              <a:gd name="connsiteX18" fmla="*/ 16809 w 1364806"/>
              <a:gd name="connsiteY18" fmla="*/ 354724 h 655923"/>
              <a:gd name="connsiteX0" fmla="*/ 16809 w 1364806"/>
              <a:gd name="connsiteY0" fmla="*/ 360650 h 661849"/>
              <a:gd name="connsiteX1" fmla="*/ 166487 w 1364806"/>
              <a:gd name="connsiteY1" fmla="*/ 156360 h 661849"/>
              <a:gd name="connsiteX2" fmla="*/ 481854 w 1364806"/>
              <a:gd name="connsiteY2" fmla="*/ 18899 h 661849"/>
              <a:gd name="connsiteX3" fmla="*/ 796952 w 1364806"/>
              <a:gd name="connsiteY3" fmla="*/ 42968 h 661849"/>
              <a:gd name="connsiteX4" fmla="*/ 1019202 w 1364806"/>
              <a:gd name="connsiteY4" fmla="*/ 156360 h 661849"/>
              <a:gd name="connsiteX5" fmla="*/ 1164345 w 1364806"/>
              <a:gd name="connsiteY5" fmla="*/ 319646 h 661849"/>
              <a:gd name="connsiteX6" fmla="*/ 1194226 w 1364806"/>
              <a:gd name="connsiteY6" fmla="*/ 357322 h 661849"/>
              <a:gd name="connsiteX7" fmla="*/ 1290545 w 1364806"/>
              <a:gd name="connsiteY7" fmla="*/ 420457 h 661849"/>
              <a:gd name="connsiteX8" fmla="*/ 1354845 w 1364806"/>
              <a:gd name="connsiteY8" fmla="*/ 492003 h 661849"/>
              <a:gd name="connsiteX9" fmla="*/ 1350309 w 1364806"/>
              <a:gd name="connsiteY9" fmla="*/ 528289 h 661849"/>
              <a:gd name="connsiteX10" fmla="*/ 1272136 w 1364806"/>
              <a:gd name="connsiteY10" fmla="*/ 537360 h 661849"/>
              <a:gd name="connsiteX11" fmla="*/ 1182487 w 1364806"/>
              <a:gd name="connsiteY11" fmla="*/ 510146 h 661849"/>
              <a:gd name="connsiteX12" fmla="*/ 1105380 w 1364806"/>
              <a:gd name="connsiteY12" fmla="*/ 546432 h 661849"/>
              <a:gd name="connsiteX13" fmla="*/ 846845 w 1364806"/>
              <a:gd name="connsiteY13" fmla="*/ 619003 h 661849"/>
              <a:gd name="connsiteX14" fmla="*/ 593646 w 1364806"/>
              <a:gd name="connsiteY14" fmla="*/ 659642 h 661849"/>
              <a:gd name="connsiteX15" fmla="*/ 348185 w 1364806"/>
              <a:gd name="connsiteY15" fmla="*/ 632246 h 661849"/>
              <a:gd name="connsiteX16" fmla="*/ 176094 w 1364806"/>
              <a:gd name="connsiteY16" fmla="*/ 553382 h 661849"/>
              <a:gd name="connsiteX17" fmla="*/ 65635 w 1364806"/>
              <a:gd name="connsiteY17" fmla="*/ 468412 h 661849"/>
              <a:gd name="connsiteX18" fmla="*/ 16809 w 1364806"/>
              <a:gd name="connsiteY18" fmla="*/ 360650 h 661849"/>
              <a:gd name="connsiteX0" fmla="*/ 16809 w 1364806"/>
              <a:gd name="connsiteY0" fmla="*/ 360650 h 664812"/>
              <a:gd name="connsiteX1" fmla="*/ 166487 w 1364806"/>
              <a:gd name="connsiteY1" fmla="*/ 156360 h 664812"/>
              <a:gd name="connsiteX2" fmla="*/ 481854 w 1364806"/>
              <a:gd name="connsiteY2" fmla="*/ 18899 h 664812"/>
              <a:gd name="connsiteX3" fmla="*/ 796952 w 1364806"/>
              <a:gd name="connsiteY3" fmla="*/ 42968 h 664812"/>
              <a:gd name="connsiteX4" fmla="*/ 1019202 w 1364806"/>
              <a:gd name="connsiteY4" fmla="*/ 156360 h 664812"/>
              <a:gd name="connsiteX5" fmla="*/ 1164345 w 1364806"/>
              <a:gd name="connsiteY5" fmla="*/ 319646 h 664812"/>
              <a:gd name="connsiteX6" fmla="*/ 1194226 w 1364806"/>
              <a:gd name="connsiteY6" fmla="*/ 357322 h 664812"/>
              <a:gd name="connsiteX7" fmla="*/ 1290545 w 1364806"/>
              <a:gd name="connsiteY7" fmla="*/ 420457 h 664812"/>
              <a:gd name="connsiteX8" fmla="*/ 1354845 w 1364806"/>
              <a:gd name="connsiteY8" fmla="*/ 492003 h 664812"/>
              <a:gd name="connsiteX9" fmla="*/ 1350309 w 1364806"/>
              <a:gd name="connsiteY9" fmla="*/ 528289 h 664812"/>
              <a:gd name="connsiteX10" fmla="*/ 1272136 w 1364806"/>
              <a:gd name="connsiteY10" fmla="*/ 537360 h 664812"/>
              <a:gd name="connsiteX11" fmla="*/ 1182487 w 1364806"/>
              <a:gd name="connsiteY11" fmla="*/ 510146 h 664812"/>
              <a:gd name="connsiteX12" fmla="*/ 1105380 w 1364806"/>
              <a:gd name="connsiteY12" fmla="*/ 546432 h 664812"/>
              <a:gd name="connsiteX13" fmla="*/ 846845 w 1364806"/>
              <a:gd name="connsiteY13" fmla="*/ 619003 h 664812"/>
              <a:gd name="connsiteX14" fmla="*/ 584841 w 1364806"/>
              <a:gd name="connsiteY14" fmla="*/ 662605 h 664812"/>
              <a:gd name="connsiteX15" fmla="*/ 348185 w 1364806"/>
              <a:gd name="connsiteY15" fmla="*/ 632246 h 664812"/>
              <a:gd name="connsiteX16" fmla="*/ 176094 w 1364806"/>
              <a:gd name="connsiteY16" fmla="*/ 553382 h 664812"/>
              <a:gd name="connsiteX17" fmla="*/ 65635 w 1364806"/>
              <a:gd name="connsiteY17" fmla="*/ 468412 h 664812"/>
              <a:gd name="connsiteX18" fmla="*/ 16809 w 136480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2136 w 1364316"/>
              <a:gd name="connsiteY10" fmla="*/ 537360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5071 w 1364316"/>
              <a:gd name="connsiteY10" fmla="*/ 534398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5071 w 1364316"/>
              <a:gd name="connsiteY10" fmla="*/ 534398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5071 w 1364316"/>
              <a:gd name="connsiteY10" fmla="*/ 534398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5071 w 1364316"/>
              <a:gd name="connsiteY10" fmla="*/ 534398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79035"/>
              <a:gd name="connsiteY0" fmla="*/ 360650 h 664812"/>
              <a:gd name="connsiteX1" fmla="*/ 166487 w 1379035"/>
              <a:gd name="connsiteY1" fmla="*/ 156360 h 664812"/>
              <a:gd name="connsiteX2" fmla="*/ 481854 w 1379035"/>
              <a:gd name="connsiteY2" fmla="*/ 18899 h 664812"/>
              <a:gd name="connsiteX3" fmla="*/ 796952 w 1379035"/>
              <a:gd name="connsiteY3" fmla="*/ 42968 h 664812"/>
              <a:gd name="connsiteX4" fmla="*/ 1019202 w 1379035"/>
              <a:gd name="connsiteY4" fmla="*/ 156360 h 664812"/>
              <a:gd name="connsiteX5" fmla="*/ 1164345 w 1379035"/>
              <a:gd name="connsiteY5" fmla="*/ 319646 h 664812"/>
              <a:gd name="connsiteX6" fmla="*/ 1194226 w 1379035"/>
              <a:gd name="connsiteY6" fmla="*/ 357322 h 664812"/>
              <a:gd name="connsiteX7" fmla="*/ 1293481 w 1379035"/>
              <a:gd name="connsiteY7" fmla="*/ 423421 h 664812"/>
              <a:gd name="connsiteX8" fmla="*/ 1354845 w 1379035"/>
              <a:gd name="connsiteY8" fmla="*/ 492003 h 664812"/>
              <a:gd name="connsiteX9" fmla="*/ 1350309 w 1379035"/>
              <a:gd name="connsiteY9" fmla="*/ 528289 h 664812"/>
              <a:gd name="connsiteX10" fmla="*/ 1182487 w 1379035"/>
              <a:gd name="connsiteY10" fmla="*/ 510146 h 664812"/>
              <a:gd name="connsiteX11" fmla="*/ 1105380 w 1379035"/>
              <a:gd name="connsiteY11" fmla="*/ 546432 h 664812"/>
              <a:gd name="connsiteX12" fmla="*/ 846845 w 1379035"/>
              <a:gd name="connsiteY12" fmla="*/ 619003 h 664812"/>
              <a:gd name="connsiteX13" fmla="*/ 584841 w 1379035"/>
              <a:gd name="connsiteY13" fmla="*/ 662605 h 664812"/>
              <a:gd name="connsiteX14" fmla="*/ 348185 w 1379035"/>
              <a:gd name="connsiteY14" fmla="*/ 632246 h 664812"/>
              <a:gd name="connsiteX15" fmla="*/ 176094 w 1379035"/>
              <a:gd name="connsiteY15" fmla="*/ 553382 h 664812"/>
              <a:gd name="connsiteX16" fmla="*/ 65635 w 1379035"/>
              <a:gd name="connsiteY16" fmla="*/ 468412 h 664812"/>
              <a:gd name="connsiteX17" fmla="*/ 16809 w 1379035"/>
              <a:gd name="connsiteY17" fmla="*/ 360650 h 664812"/>
              <a:gd name="connsiteX0" fmla="*/ 16809 w 1364756"/>
              <a:gd name="connsiteY0" fmla="*/ 360650 h 664812"/>
              <a:gd name="connsiteX1" fmla="*/ 166487 w 1364756"/>
              <a:gd name="connsiteY1" fmla="*/ 156360 h 664812"/>
              <a:gd name="connsiteX2" fmla="*/ 481854 w 1364756"/>
              <a:gd name="connsiteY2" fmla="*/ 18899 h 664812"/>
              <a:gd name="connsiteX3" fmla="*/ 796952 w 1364756"/>
              <a:gd name="connsiteY3" fmla="*/ 42968 h 664812"/>
              <a:gd name="connsiteX4" fmla="*/ 1019202 w 1364756"/>
              <a:gd name="connsiteY4" fmla="*/ 156360 h 664812"/>
              <a:gd name="connsiteX5" fmla="*/ 1164345 w 1364756"/>
              <a:gd name="connsiteY5" fmla="*/ 319646 h 664812"/>
              <a:gd name="connsiteX6" fmla="*/ 1194226 w 1364756"/>
              <a:gd name="connsiteY6" fmla="*/ 357322 h 664812"/>
              <a:gd name="connsiteX7" fmla="*/ 1293481 w 1364756"/>
              <a:gd name="connsiteY7" fmla="*/ 423421 h 664812"/>
              <a:gd name="connsiteX8" fmla="*/ 1354845 w 1364756"/>
              <a:gd name="connsiteY8" fmla="*/ 492003 h 664812"/>
              <a:gd name="connsiteX9" fmla="*/ 1350309 w 1364756"/>
              <a:gd name="connsiteY9" fmla="*/ 528289 h 664812"/>
              <a:gd name="connsiteX10" fmla="*/ 1268162 w 1364756"/>
              <a:gd name="connsiteY10" fmla="*/ 519954 h 664812"/>
              <a:gd name="connsiteX11" fmla="*/ 1182487 w 1364756"/>
              <a:gd name="connsiteY11" fmla="*/ 510146 h 664812"/>
              <a:gd name="connsiteX12" fmla="*/ 1105380 w 1364756"/>
              <a:gd name="connsiteY12" fmla="*/ 546432 h 664812"/>
              <a:gd name="connsiteX13" fmla="*/ 846845 w 1364756"/>
              <a:gd name="connsiteY13" fmla="*/ 619003 h 664812"/>
              <a:gd name="connsiteX14" fmla="*/ 584841 w 1364756"/>
              <a:gd name="connsiteY14" fmla="*/ 662605 h 664812"/>
              <a:gd name="connsiteX15" fmla="*/ 348185 w 1364756"/>
              <a:gd name="connsiteY15" fmla="*/ 632246 h 664812"/>
              <a:gd name="connsiteX16" fmla="*/ 176094 w 1364756"/>
              <a:gd name="connsiteY16" fmla="*/ 553382 h 664812"/>
              <a:gd name="connsiteX17" fmla="*/ 65635 w 1364756"/>
              <a:gd name="connsiteY17" fmla="*/ 468412 h 664812"/>
              <a:gd name="connsiteX18" fmla="*/ 16809 w 1364756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82487 w 1365245"/>
              <a:gd name="connsiteY11" fmla="*/ 510146 h 664812"/>
              <a:gd name="connsiteX12" fmla="*/ 1105380 w 1365245"/>
              <a:gd name="connsiteY12" fmla="*/ 546432 h 664812"/>
              <a:gd name="connsiteX13" fmla="*/ 846845 w 1365245"/>
              <a:gd name="connsiteY13" fmla="*/ 619003 h 664812"/>
              <a:gd name="connsiteX14" fmla="*/ 584841 w 1365245"/>
              <a:gd name="connsiteY14" fmla="*/ 662605 h 664812"/>
              <a:gd name="connsiteX15" fmla="*/ 348185 w 1365245"/>
              <a:gd name="connsiteY15" fmla="*/ 632246 h 664812"/>
              <a:gd name="connsiteX16" fmla="*/ 176094 w 1365245"/>
              <a:gd name="connsiteY16" fmla="*/ 553382 h 664812"/>
              <a:gd name="connsiteX17" fmla="*/ 65635 w 1365245"/>
              <a:gd name="connsiteY17" fmla="*/ 468412 h 664812"/>
              <a:gd name="connsiteX18" fmla="*/ 16809 w 1365245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82487 w 1365245"/>
              <a:gd name="connsiteY11" fmla="*/ 510146 h 664812"/>
              <a:gd name="connsiteX12" fmla="*/ 1105380 w 1365245"/>
              <a:gd name="connsiteY12" fmla="*/ 546432 h 664812"/>
              <a:gd name="connsiteX13" fmla="*/ 846845 w 1365245"/>
              <a:gd name="connsiteY13" fmla="*/ 619003 h 664812"/>
              <a:gd name="connsiteX14" fmla="*/ 584841 w 1365245"/>
              <a:gd name="connsiteY14" fmla="*/ 662605 h 664812"/>
              <a:gd name="connsiteX15" fmla="*/ 348185 w 1365245"/>
              <a:gd name="connsiteY15" fmla="*/ 632246 h 664812"/>
              <a:gd name="connsiteX16" fmla="*/ 176094 w 1365245"/>
              <a:gd name="connsiteY16" fmla="*/ 553382 h 664812"/>
              <a:gd name="connsiteX17" fmla="*/ 65635 w 1365245"/>
              <a:gd name="connsiteY17" fmla="*/ 468412 h 664812"/>
              <a:gd name="connsiteX18" fmla="*/ 16809 w 1365245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79553 w 1365245"/>
              <a:gd name="connsiteY11" fmla="*/ 492369 h 664812"/>
              <a:gd name="connsiteX12" fmla="*/ 1105380 w 1365245"/>
              <a:gd name="connsiteY12" fmla="*/ 546432 h 664812"/>
              <a:gd name="connsiteX13" fmla="*/ 846845 w 1365245"/>
              <a:gd name="connsiteY13" fmla="*/ 619003 h 664812"/>
              <a:gd name="connsiteX14" fmla="*/ 584841 w 1365245"/>
              <a:gd name="connsiteY14" fmla="*/ 662605 h 664812"/>
              <a:gd name="connsiteX15" fmla="*/ 348185 w 1365245"/>
              <a:gd name="connsiteY15" fmla="*/ 632246 h 664812"/>
              <a:gd name="connsiteX16" fmla="*/ 176094 w 1365245"/>
              <a:gd name="connsiteY16" fmla="*/ 553382 h 664812"/>
              <a:gd name="connsiteX17" fmla="*/ 65635 w 1365245"/>
              <a:gd name="connsiteY17" fmla="*/ 468412 h 664812"/>
              <a:gd name="connsiteX18" fmla="*/ 16809 w 1365245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88358 w 1365245"/>
              <a:gd name="connsiteY11" fmla="*/ 501257 h 664812"/>
              <a:gd name="connsiteX12" fmla="*/ 1105380 w 1365245"/>
              <a:gd name="connsiteY12" fmla="*/ 546432 h 664812"/>
              <a:gd name="connsiteX13" fmla="*/ 846845 w 1365245"/>
              <a:gd name="connsiteY13" fmla="*/ 619003 h 664812"/>
              <a:gd name="connsiteX14" fmla="*/ 584841 w 1365245"/>
              <a:gd name="connsiteY14" fmla="*/ 662605 h 664812"/>
              <a:gd name="connsiteX15" fmla="*/ 348185 w 1365245"/>
              <a:gd name="connsiteY15" fmla="*/ 632246 h 664812"/>
              <a:gd name="connsiteX16" fmla="*/ 176094 w 1365245"/>
              <a:gd name="connsiteY16" fmla="*/ 553382 h 664812"/>
              <a:gd name="connsiteX17" fmla="*/ 65635 w 1365245"/>
              <a:gd name="connsiteY17" fmla="*/ 468412 h 664812"/>
              <a:gd name="connsiteX18" fmla="*/ 16809 w 1365245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88358 w 1365245"/>
              <a:gd name="connsiteY11" fmla="*/ 501257 h 664812"/>
              <a:gd name="connsiteX12" fmla="*/ 1171308 w 1365245"/>
              <a:gd name="connsiteY12" fmla="*/ 508102 h 664812"/>
              <a:gd name="connsiteX13" fmla="*/ 1105380 w 1365245"/>
              <a:gd name="connsiteY13" fmla="*/ 546432 h 664812"/>
              <a:gd name="connsiteX14" fmla="*/ 846845 w 1365245"/>
              <a:gd name="connsiteY14" fmla="*/ 619003 h 664812"/>
              <a:gd name="connsiteX15" fmla="*/ 584841 w 1365245"/>
              <a:gd name="connsiteY15" fmla="*/ 662605 h 664812"/>
              <a:gd name="connsiteX16" fmla="*/ 348185 w 1365245"/>
              <a:gd name="connsiteY16" fmla="*/ 632246 h 664812"/>
              <a:gd name="connsiteX17" fmla="*/ 176094 w 1365245"/>
              <a:gd name="connsiteY17" fmla="*/ 553382 h 664812"/>
              <a:gd name="connsiteX18" fmla="*/ 65635 w 1365245"/>
              <a:gd name="connsiteY18" fmla="*/ 468412 h 664812"/>
              <a:gd name="connsiteX19" fmla="*/ 16809 w 1365245"/>
              <a:gd name="connsiteY19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95474 w 1365245"/>
              <a:gd name="connsiteY11" fmla="*/ 498863 h 664812"/>
              <a:gd name="connsiteX12" fmla="*/ 1171308 w 1365245"/>
              <a:gd name="connsiteY12" fmla="*/ 508102 h 664812"/>
              <a:gd name="connsiteX13" fmla="*/ 1105380 w 1365245"/>
              <a:gd name="connsiteY13" fmla="*/ 546432 h 664812"/>
              <a:gd name="connsiteX14" fmla="*/ 846845 w 1365245"/>
              <a:gd name="connsiteY14" fmla="*/ 619003 h 664812"/>
              <a:gd name="connsiteX15" fmla="*/ 584841 w 1365245"/>
              <a:gd name="connsiteY15" fmla="*/ 662605 h 664812"/>
              <a:gd name="connsiteX16" fmla="*/ 348185 w 1365245"/>
              <a:gd name="connsiteY16" fmla="*/ 632246 h 664812"/>
              <a:gd name="connsiteX17" fmla="*/ 176094 w 1365245"/>
              <a:gd name="connsiteY17" fmla="*/ 553382 h 664812"/>
              <a:gd name="connsiteX18" fmla="*/ 65635 w 1365245"/>
              <a:gd name="connsiteY18" fmla="*/ 468412 h 664812"/>
              <a:gd name="connsiteX19" fmla="*/ 16809 w 1365245"/>
              <a:gd name="connsiteY19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7086 w 1364316"/>
              <a:gd name="connsiteY10" fmla="*/ 526450 h 664812"/>
              <a:gd name="connsiteX11" fmla="*/ 1195474 w 1364316"/>
              <a:gd name="connsiteY11" fmla="*/ 498863 h 664812"/>
              <a:gd name="connsiteX12" fmla="*/ 1171308 w 1364316"/>
              <a:gd name="connsiteY12" fmla="*/ 508102 h 664812"/>
              <a:gd name="connsiteX13" fmla="*/ 1105380 w 1364316"/>
              <a:gd name="connsiteY13" fmla="*/ 546432 h 664812"/>
              <a:gd name="connsiteX14" fmla="*/ 846845 w 1364316"/>
              <a:gd name="connsiteY14" fmla="*/ 619003 h 664812"/>
              <a:gd name="connsiteX15" fmla="*/ 584841 w 1364316"/>
              <a:gd name="connsiteY15" fmla="*/ 662605 h 664812"/>
              <a:gd name="connsiteX16" fmla="*/ 348185 w 1364316"/>
              <a:gd name="connsiteY16" fmla="*/ 632246 h 664812"/>
              <a:gd name="connsiteX17" fmla="*/ 176094 w 1364316"/>
              <a:gd name="connsiteY17" fmla="*/ 553382 h 664812"/>
              <a:gd name="connsiteX18" fmla="*/ 65635 w 1364316"/>
              <a:gd name="connsiteY18" fmla="*/ 468412 h 664812"/>
              <a:gd name="connsiteX19" fmla="*/ 16809 w 1364316"/>
              <a:gd name="connsiteY19" fmla="*/ 360650 h 664812"/>
              <a:gd name="connsiteX0" fmla="*/ 19576 w 1367083"/>
              <a:gd name="connsiteY0" fmla="*/ 360650 h 664812"/>
              <a:gd name="connsiteX1" fmla="*/ 169254 w 1367083"/>
              <a:gd name="connsiteY1" fmla="*/ 156360 h 664812"/>
              <a:gd name="connsiteX2" fmla="*/ 484621 w 1367083"/>
              <a:gd name="connsiteY2" fmla="*/ 18899 h 664812"/>
              <a:gd name="connsiteX3" fmla="*/ 799719 w 1367083"/>
              <a:gd name="connsiteY3" fmla="*/ 42968 h 664812"/>
              <a:gd name="connsiteX4" fmla="*/ 1021969 w 1367083"/>
              <a:gd name="connsiteY4" fmla="*/ 156360 h 664812"/>
              <a:gd name="connsiteX5" fmla="*/ 1167112 w 1367083"/>
              <a:gd name="connsiteY5" fmla="*/ 319646 h 664812"/>
              <a:gd name="connsiteX6" fmla="*/ 1196993 w 1367083"/>
              <a:gd name="connsiteY6" fmla="*/ 357322 h 664812"/>
              <a:gd name="connsiteX7" fmla="*/ 1296248 w 1367083"/>
              <a:gd name="connsiteY7" fmla="*/ 423421 h 664812"/>
              <a:gd name="connsiteX8" fmla="*/ 1357612 w 1367083"/>
              <a:gd name="connsiteY8" fmla="*/ 492003 h 664812"/>
              <a:gd name="connsiteX9" fmla="*/ 1353076 w 1367083"/>
              <a:gd name="connsiteY9" fmla="*/ 528289 h 664812"/>
              <a:gd name="connsiteX10" fmla="*/ 1279853 w 1367083"/>
              <a:gd name="connsiteY10" fmla="*/ 526450 h 664812"/>
              <a:gd name="connsiteX11" fmla="*/ 1198241 w 1367083"/>
              <a:gd name="connsiteY11" fmla="*/ 498863 h 664812"/>
              <a:gd name="connsiteX12" fmla="*/ 1174075 w 1367083"/>
              <a:gd name="connsiteY12" fmla="*/ 508102 h 664812"/>
              <a:gd name="connsiteX13" fmla="*/ 1108147 w 1367083"/>
              <a:gd name="connsiteY13" fmla="*/ 546432 h 664812"/>
              <a:gd name="connsiteX14" fmla="*/ 849612 w 1367083"/>
              <a:gd name="connsiteY14" fmla="*/ 619003 h 664812"/>
              <a:gd name="connsiteX15" fmla="*/ 587608 w 1367083"/>
              <a:gd name="connsiteY15" fmla="*/ 662605 h 664812"/>
              <a:gd name="connsiteX16" fmla="*/ 350952 w 1367083"/>
              <a:gd name="connsiteY16" fmla="*/ 632246 h 664812"/>
              <a:gd name="connsiteX17" fmla="*/ 178861 w 1367083"/>
              <a:gd name="connsiteY17" fmla="*/ 553382 h 664812"/>
              <a:gd name="connsiteX18" fmla="*/ 51799 w 1367083"/>
              <a:gd name="connsiteY18" fmla="*/ 454042 h 664812"/>
              <a:gd name="connsiteX19" fmla="*/ 19576 w 1367083"/>
              <a:gd name="connsiteY19" fmla="*/ 360650 h 6648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1367083" h="664812">
                <a:moveTo>
                  <a:pt x="19576" y="360650"/>
                </a:moveTo>
                <a:cubicBezTo>
                  <a:pt x="39152" y="311036"/>
                  <a:pt x="91746" y="213319"/>
                  <a:pt x="169254" y="156360"/>
                </a:cubicBezTo>
                <a:cubicBezTo>
                  <a:pt x="246762" y="99401"/>
                  <a:pt x="379544" y="37798"/>
                  <a:pt x="484621" y="18899"/>
                </a:cubicBezTo>
                <a:cubicBezTo>
                  <a:pt x="589698" y="0"/>
                  <a:pt x="710161" y="20058"/>
                  <a:pt x="799719" y="42968"/>
                </a:cubicBezTo>
                <a:cubicBezTo>
                  <a:pt x="889277" y="65878"/>
                  <a:pt x="960737" y="110247"/>
                  <a:pt x="1021969" y="156360"/>
                </a:cubicBezTo>
                <a:cubicBezTo>
                  <a:pt x="1083201" y="202473"/>
                  <a:pt x="1137941" y="286152"/>
                  <a:pt x="1167112" y="319646"/>
                </a:cubicBezTo>
                <a:cubicBezTo>
                  <a:pt x="1196283" y="353140"/>
                  <a:pt x="1175470" y="340026"/>
                  <a:pt x="1196993" y="357322"/>
                </a:cubicBezTo>
                <a:cubicBezTo>
                  <a:pt x="1218516" y="374618"/>
                  <a:pt x="1269478" y="400974"/>
                  <a:pt x="1296248" y="423421"/>
                </a:cubicBezTo>
                <a:cubicBezTo>
                  <a:pt x="1323018" y="445868"/>
                  <a:pt x="1348141" y="474525"/>
                  <a:pt x="1357612" y="492003"/>
                </a:cubicBezTo>
                <a:cubicBezTo>
                  <a:pt x="1367083" y="509481"/>
                  <a:pt x="1366036" y="522548"/>
                  <a:pt x="1353076" y="528289"/>
                </a:cubicBezTo>
                <a:cubicBezTo>
                  <a:pt x="1340116" y="534030"/>
                  <a:pt x="1305659" y="531354"/>
                  <a:pt x="1279853" y="526450"/>
                </a:cubicBezTo>
                <a:cubicBezTo>
                  <a:pt x="1254047" y="521546"/>
                  <a:pt x="1215871" y="501921"/>
                  <a:pt x="1198241" y="498863"/>
                </a:cubicBezTo>
                <a:cubicBezTo>
                  <a:pt x="1180611" y="495805"/>
                  <a:pt x="1189091" y="500174"/>
                  <a:pt x="1174075" y="508102"/>
                </a:cubicBezTo>
                <a:cubicBezTo>
                  <a:pt x="1159059" y="516030"/>
                  <a:pt x="1162224" y="527949"/>
                  <a:pt x="1108147" y="546432"/>
                </a:cubicBezTo>
                <a:cubicBezTo>
                  <a:pt x="1054070" y="564915"/>
                  <a:pt x="936368" y="599641"/>
                  <a:pt x="849612" y="619003"/>
                </a:cubicBezTo>
                <a:cubicBezTo>
                  <a:pt x="762856" y="638365"/>
                  <a:pt x="670718" y="660398"/>
                  <a:pt x="587608" y="662605"/>
                </a:cubicBezTo>
                <a:cubicBezTo>
                  <a:pt x="504498" y="664812"/>
                  <a:pt x="419076" y="650450"/>
                  <a:pt x="350952" y="632246"/>
                </a:cubicBezTo>
                <a:cubicBezTo>
                  <a:pt x="282828" y="614042"/>
                  <a:pt x="225953" y="580688"/>
                  <a:pt x="178861" y="553382"/>
                </a:cubicBezTo>
                <a:cubicBezTo>
                  <a:pt x="131769" y="520151"/>
                  <a:pt x="78346" y="486164"/>
                  <a:pt x="51799" y="454042"/>
                </a:cubicBezTo>
                <a:cubicBezTo>
                  <a:pt x="25252" y="421920"/>
                  <a:pt x="0" y="410264"/>
                  <a:pt x="19576" y="360650"/>
                </a:cubicBezTo>
                <a:close/>
              </a:path>
            </a:pathLst>
          </a:custGeom>
          <a:noFill/>
          <a:ln>
            <a:solidFill>
              <a:srgbClr val="00339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20" name="Elipse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10048876" y="13787438"/>
            <a:ext cx="585788" cy="566737"/>
          </a:xfrm>
          <a:prstGeom prst="ellipse">
            <a:avLst/>
          </a:prstGeom>
          <a:noFill/>
          <a:ln>
            <a:solidFill>
              <a:srgbClr val="00339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21" name="Elipse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0239376" y="13968413"/>
            <a:ext cx="202405" cy="204787"/>
          </a:xfrm>
          <a:prstGeom prst="ellipse">
            <a:avLst/>
          </a:prstGeom>
          <a:noFill/>
          <a:ln>
            <a:solidFill>
              <a:srgbClr val="00339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 editAs="oneCell">
    <xdr:from>
      <xdr:col>44</xdr:col>
      <xdr:colOff>57148</xdr:colOff>
      <xdr:row>2</xdr:row>
      <xdr:rowOff>42658</xdr:rowOff>
    </xdr:from>
    <xdr:to>
      <xdr:col>57</xdr:col>
      <xdr:colOff>47624</xdr:colOff>
      <xdr:row>5</xdr:row>
      <xdr:rowOff>79533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 flipH="1">
          <a:off x="4937889" y="180606"/>
          <a:ext cx="1330545" cy="660927"/>
          <a:chOff x="9738104" y="13733858"/>
          <a:chExt cx="1372516" cy="661033"/>
        </a:xfrm>
      </xdr:grpSpPr>
      <xdr:sp macro="" textlink="">
        <xdr:nvSpPr>
          <xdr:cNvPr id="27" name="Forma livre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738104" y="13733858"/>
            <a:ext cx="1372516" cy="661033"/>
          </a:xfrm>
          <a:custGeom>
            <a:avLst/>
            <a:gdLst>
              <a:gd name="connsiteX0" fmla="*/ 22678 w 1375833"/>
              <a:gd name="connsiteY0" fmla="*/ 363613 h 645583"/>
              <a:gd name="connsiteX1" fmla="*/ 172356 w 1375833"/>
              <a:gd name="connsiteY1" fmla="*/ 150434 h 645583"/>
              <a:gd name="connsiteX2" fmla="*/ 467178 w 1375833"/>
              <a:gd name="connsiteY2" fmla="*/ 18899 h 645583"/>
              <a:gd name="connsiteX3" fmla="*/ 802821 w 1375833"/>
              <a:gd name="connsiteY3" fmla="*/ 37042 h 645583"/>
              <a:gd name="connsiteX4" fmla="*/ 1025071 w 1375833"/>
              <a:gd name="connsiteY4" fmla="*/ 150434 h 645583"/>
              <a:gd name="connsiteX5" fmla="*/ 1170214 w 1375833"/>
              <a:gd name="connsiteY5" fmla="*/ 313720 h 645583"/>
              <a:gd name="connsiteX6" fmla="*/ 1188356 w 1375833"/>
              <a:gd name="connsiteY6" fmla="*/ 345470 h 645583"/>
              <a:gd name="connsiteX7" fmla="*/ 1269999 w 1375833"/>
              <a:gd name="connsiteY7" fmla="*/ 390827 h 645583"/>
              <a:gd name="connsiteX8" fmla="*/ 1360714 w 1375833"/>
              <a:gd name="connsiteY8" fmla="*/ 486077 h 645583"/>
              <a:gd name="connsiteX9" fmla="*/ 1356178 w 1375833"/>
              <a:gd name="connsiteY9" fmla="*/ 522363 h 645583"/>
              <a:gd name="connsiteX10" fmla="*/ 1242785 w 1375833"/>
              <a:gd name="connsiteY10" fmla="*/ 531434 h 645583"/>
              <a:gd name="connsiteX11" fmla="*/ 1188356 w 1375833"/>
              <a:gd name="connsiteY11" fmla="*/ 504220 h 645583"/>
              <a:gd name="connsiteX12" fmla="*/ 1111249 w 1375833"/>
              <a:gd name="connsiteY12" fmla="*/ 540506 h 645583"/>
              <a:gd name="connsiteX13" fmla="*/ 852714 w 1375833"/>
              <a:gd name="connsiteY13" fmla="*/ 613077 h 645583"/>
              <a:gd name="connsiteX14" fmla="*/ 576035 w 1375833"/>
              <a:gd name="connsiteY14" fmla="*/ 644827 h 645583"/>
              <a:gd name="connsiteX15" fmla="*/ 312964 w 1375833"/>
              <a:gd name="connsiteY15" fmla="*/ 608542 h 645583"/>
              <a:gd name="connsiteX16" fmla="*/ 149678 w 1375833"/>
              <a:gd name="connsiteY16" fmla="*/ 517827 h 645583"/>
              <a:gd name="connsiteX17" fmla="*/ 36285 w 1375833"/>
              <a:gd name="connsiteY17" fmla="*/ 418042 h 645583"/>
              <a:gd name="connsiteX18" fmla="*/ 22678 w 1375833"/>
              <a:gd name="connsiteY18" fmla="*/ 363613 h 645583"/>
              <a:gd name="connsiteX0" fmla="*/ 18765 w 1371920"/>
              <a:gd name="connsiteY0" fmla="*/ 363613 h 645583"/>
              <a:gd name="connsiteX1" fmla="*/ 168443 w 1371920"/>
              <a:gd name="connsiteY1" fmla="*/ 150434 h 645583"/>
              <a:gd name="connsiteX2" fmla="*/ 463265 w 1371920"/>
              <a:gd name="connsiteY2" fmla="*/ 18899 h 645583"/>
              <a:gd name="connsiteX3" fmla="*/ 798908 w 1371920"/>
              <a:gd name="connsiteY3" fmla="*/ 37042 h 645583"/>
              <a:gd name="connsiteX4" fmla="*/ 1021158 w 1371920"/>
              <a:gd name="connsiteY4" fmla="*/ 150434 h 645583"/>
              <a:gd name="connsiteX5" fmla="*/ 1166301 w 1371920"/>
              <a:gd name="connsiteY5" fmla="*/ 313720 h 645583"/>
              <a:gd name="connsiteX6" fmla="*/ 1184443 w 1371920"/>
              <a:gd name="connsiteY6" fmla="*/ 345470 h 645583"/>
              <a:gd name="connsiteX7" fmla="*/ 1266086 w 1371920"/>
              <a:gd name="connsiteY7" fmla="*/ 390827 h 645583"/>
              <a:gd name="connsiteX8" fmla="*/ 1356801 w 1371920"/>
              <a:gd name="connsiteY8" fmla="*/ 486077 h 645583"/>
              <a:gd name="connsiteX9" fmla="*/ 1352265 w 1371920"/>
              <a:gd name="connsiteY9" fmla="*/ 522363 h 645583"/>
              <a:gd name="connsiteX10" fmla="*/ 1238872 w 1371920"/>
              <a:gd name="connsiteY10" fmla="*/ 531434 h 645583"/>
              <a:gd name="connsiteX11" fmla="*/ 1184443 w 1371920"/>
              <a:gd name="connsiteY11" fmla="*/ 504220 h 645583"/>
              <a:gd name="connsiteX12" fmla="*/ 1107336 w 1371920"/>
              <a:gd name="connsiteY12" fmla="*/ 540506 h 645583"/>
              <a:gd name="connsiteX13" fmla="*/ 848801 w 1371920"/>
              <a:gd name="connsiteY13" fmla="*/ 613077 h 645583"/>
              <a:gd name="connsiteX14" fmla="*/ 572122 w 1371920"/>
              <a:gd name="connsiteY14" fmla="*/ 644827 h 645583"/>
              <a:gd name="connsiteX15" fmla="*/ 309051 w 1371920"/>
              <a:gd name="connsiteY15" fmla="*/ 608542 h 645583"/>
              <a:gd name="connsiteX16" fmla="*/ 145765 w 1371920"/>
              <a:gd name="connsiteY16" fmla="*/ 517827 h 645583"/>
              <a:gd name="connsiteX17" fmla="*/ 55851 w 1371920"/>
              <a:gd name="connsiteY17" fmla="*/ 444708 h 645583"/>
              <a:gd name="connsiteX18" fmla="*/ 18765 w 1371920"/>
              <a:gd name="connsiteY18" fmla="*/ 363613 h 645583"/>
              <a:gd name="connsiteX0" fmla="*/ 18765 w 1371920"/>
              <a:gd name="connsiteY0" fmla="*/ 363613 h 647487"/>
              <a:gd name="connsiteX1" fmla="*/ 168443 w 1371920"/>
              <a:gd name="connsiteY1" fmla="*/ 150434 h 647487"/>
              <a:gd name="connsiteX2" fmla="*/ 463265 w 1371920"/>
              <a:gd name="connsiteY2" fmla="*/ 18899 h 647487"/>
              <a:gd name="connsiteX3" fmla="*/ 798908 w 1371920"/>
              <a:gd name="connsiteY3" fmla="*/ 37042 h 647487"/>
              <a:gd name="connsiteX4" fmla="*/ 1021158 w 1371920"/>
              <a:gd name="connsiteY4" fmla="*/ 150434 h 647487"/>
              <a:gd name="connsiteX5" fmla="*/ 1166301 w 1371920"/>
              <a:gd name="connsiteY5" fmla="*/ 313720 h 647487"/>
              <a:gd name="connsiteX6" fmla="*/ 1184443 w 1371920"/>
              <a:gd name="connsiteY6" fmla="*/ 345470 h 647487"/>
              <a:gd name="connsiteX7" fmla="*/ 1266086 w 1371920"/>
              <a:gd name="connsiteY7" fmla="*/ 390827 h 647487"/>
              <a:gd name="connsiteX8" fmla="*/ 1356801 w 1371920"/>
              <a:gd name="connsiteY8" fmla="*/ 486077 h 647487"/>
              <a:gd name="connsiteX9" fmla="*/ 1352265 w 1371920"/>
              <a:gd name="connsiteY9" fmla="*/ 522363 h 647487"/>
              <a:gd name="connsiteX10" fmla="*/ 1238872 w 1371920"/>
              <a:gd name="connsiteY10" fmla="*/ 531434 h 647487"/>
              <a:gd name="connsiteX11" fmla="*/ 1184443 w 1371920"/>
              <a:gd name="connsiteY11" fmla="*/ 504220 h 647487"/>
              <a:gd name="connsiteX12" fmla="*/ 1107336 w 1371920"/>
              <a:gd name="connsiteY12" fmla="*/ 540506 h 647487"/>
              <a:gd name="connsiteX13" fmla="*/ 848801 w 1371920"/>
              <a:gd name="connsiteY13" fmla="*/ 613077 h 647487"/>
              <a:gd name="connsiteX14" fmla="*/ 572122 w 1371920"/>
              <a:gd name="connsiteY14" fmla="*/ 644827 h 647487"/>
              <a:gd name="connsiteX15" fmla="*/ 350141 w 1371920"/>
              <a:gd name="connsiteY15" fmla="*/ 626320 h 647487"/>
              <a:gd name="connsiteX16" fmla="*/ 145765 w 1371920"/>
              <a:gd name="connsiteY16" fmla="*/ 517827 h 647487"/>
              <a:gd name="connsiteX17" fmla="*/ 55851 w 1371920"/>
              <a:gd name="connsiteY17" fmla="*/ 444708 h 647487"/>
              <a:gd name="connsiteX18" fmla="*/ 18765 w 1371920"/>
              <a:gd name="connsiteY18" fmla="*/ 363613 h 647487"/>
              <a:gd name="connsiteX0" fmla="*/ 18765 w 1371164"/>
              <a:gd name="connsiteY0" fmla="*/ 363613 h 647487"/>
              <a:gd name="connsiteX1" fmla="*/ 168443 w 1371164"/>
              <a:gd name="connsiteY1" fmla="*/ 150434 h 647487"/>
              <a:gd name="connsiteX2" fmla="*/ 463265 w 1371164"/>
              <a:gd name="connsiteY2" fmla="*/ 18899 h 647487"/>
              <a:gd name="connsiteX3" fmla="*/ 798908 w 1371164"/>
              <a:gd name="connsiteY3" fmla="*/ 37042 h 647487"/>
              <a:gd name="connsiteX4" fmla="*/ 1021158 w 1371164"/>
              <a:gd name="connsiteY4" fmla="*/ 150434 h 647487"/>
              <a:gd name="connsiteX5" fmla="*/ 1166301 w 1371164"/>
              <a:gd name="connsiteY5" fmla="*/ 313720 h 647487"/>
              <a:gd name="connsiteX6" fmla="*/ 1184443 w 1371164"/>
              <a:gd name="connsiteY6" fmla="*/ 345470 h 647487"/>
              <a:gd name="connsiteX7" fmla="*/ 1266086 w 1371164"/>
              <a:gd name="connsiteY7" fmla="*/ 390827 h 647487"/>
              <a:gd name="connsiteX8" fmla="*/ 1356801 w 1371164"/>
              <a:gd name="connsiteY8" fmla="*/ 486077 h 647487"/>
              <a:gd name="connsiteX9" fmla="*/ 1352265 w 1371164"/>
              <a:gd name="connsiteY9" fmla="*/ 522363 h 647487"/>
              <a:gd name="connsiteX10" fmla="*/ 1274092 w 1371164"/>
              <a:gd name="connsiteY10" fmla="*/ 531434 h 647487"/>
              <a:gd name="connsiteX11" fmla="*/ 1184443 w 1371164"/>
              <a:gd name="connsiteY11" fmla="*/ 504220 h 647487"/>
              <a:gd name="connsiteX12" fmla="*/ 1107336 w 1371164"/>
              <a:gd name="connsiteY12" fmla="*/ 540506 h 647487"/>
              <a:gd name="connsiteX13" fmla="*/ 848801 w 1371164"/>
              <a:gd name="connsiteY13" fmla="*/ 613077 h 647487"/>
              <a:gd name="connsiteX14" fmla="*/ 572122 w 1371164"/>
              <a:gd name="connsiteY14" fmla="*/ 644827 h 647487"/>
              <a:gd name="connsiteX15" fmla="*/ 350141 w 1371164"/>
              <a:gd name="connsiteY15" fmla="*/ 626320 h 647487"/>
              <a:gd name="connsiteX16" fmla="*/ 145765 w 1371164"/>
              <a:gd name="connsiteY16" fmla="*/ 517827 h 647487"/>
              <a:gd name="connsiteX17" fmla="*/ 55851 w 1371164"/>
              <a:gd name="connsiteY17" fmla="*/ 444708 h 647487"/>
              <a:gd name="connsiteX18" fmla="*/ 18765 w 1371164"/>
              <a:gd name="connsiteY18" fmla="*/ 363613 h 647487"/>
              <a:gd name="connsiteX0" fmla="*/ 18765 w 1366762"/>
              <a:gd name="connsiteY0" fmla="*/ 363613 h 647487"/>
              <a:gd name="connsiteX1" fmla="*/ 168443 w 1366762"/>
              <a:gd name="connsiteY1" fmla="*/ 150434 h 647487"/>
              <a:gd name="connsiteX2" fmla="*/ 463265 w 1366762"/>
              <a:gd name="connsiteY2" fmla="*/ 18899 h 647487"/>
              <a:gd name="connsiteX3" fmla="*/ 798908 w 1366762"/>
              <a:gd name="connsiteY3" fmla="*/ 37042 h 647487"/>
              <a:gd name="connsiteX4" fmla="*/ 1021158 w 1366762"/>
              <a:gd name="connsiteY4" fmla="*/ 150434 h 647487"/>
              <a:gd name="connsiteX5" fmla="*/ 1166301 w 1366762"/>
              <a:gd name="connsiteY5" fmla="*/ 313720 h 647487"/>
              <a:gd name="connsiteX6" fmla="*/ 1184443 w 1366762"/>
              <a:gd name="connsiteY6" fmla="*/ 345470 h 647487"/>
              <a:gd name="connsiteX7" fmla="*/ 1292501 w 1366762"/>
              <a:gd name="connsiteY7" fmla="*/ 414531 h 647487"/>
              <a:gd name="connsiteX8" fmla="*/ 1356801 w 1366762"/>
              <a:gd name="connsiteY8" fmla="*/ 486077 h 647487"/>
              <a:gd name="connsiteX9" fmla="*/ 1352265 w 1366762"/>
              <a:gd name="connsiteY9" fmla="*/ 522363 h 647487"/>
              <a:gd name="connsiteX10" fmla="*/ 1274092 w 1366762"/>
              <a:gd name="connsiteY10" fmla="*/ 531434 h 647487"/>
              <a:gd name="connsiteX11" fmla="*/ 1184443 w 1366762"/>
              <a:gd name="connsiteY11" fmla="*/ 504220 h 647487"/>
              <a:gd name="connsiteX12" fmla="*/ 1107336 w 1366762"/>
              <a:gd name="connsiteY12" fmla="*/ 540506 h 647487"/>
              <a:gd name="connsiteX13" fmla="*/ 848801 w 1366762"/>
              <a:gd name="connsiteY13" fmla="*/ 613077 h 647487"/>
              <a:gd name="connsiteX14" fmla="*/ 572122 w 1366762"/>
              <a:gd name="connsiteY14" fmla="*/ 644827 h 647487"/>
              <a:gd name="connsiteX15" fmla="*/ 350141 w 1366762"/>
              <a:gd name="connsiteY15" fmla="*/ 626320 h 647487"/>
              <a:gd name="connsiteX16" fmla="*/ 145765 w 1366762"/>
              <a:gd name="connsiteY16" fmla="*/ 517827 h 647487"/>
              <a:gd name="connsiteX17" fmla="*/ 55851 w 1366762"/>
              <a:gd name="connsiteY17" fmla="*/ 444708 h 647487"/>
              <a:gd name="connsiteX18" fmla="*/ 18765 w 1366762"/>
              <a:gd name="connsiteY18" fmla="*/ 363613 h 647487"/>
              <a:gd name="connsiteX0" fmla="*/ 18765 w 1366762"/>
              <a:gd name="connsiteY0" fmla="*/ 363613 h 647487"/>
              <a:gd name="connsiteX1" fmla="*/ 168443 w 1366762"/>
              <a:gd name="connsiteY1" fmla="*/ 150434 h 647487"/>
              <a:gd name="connsiteX2" fmla="*/ 463265 w 1366762"/>
              <a:gd name="connsiteY2" fmla="*/ 18899 h 647487"/>
              <a:gd name="connsiteX3" fmla="*/ 798908 w 1366762"/>
              <a:gd name="connsiteY3" fmla="*/ 37042 h 647487"/>
              <a:gd name="connsiteX4" fmla="*/ 1021158 w 1366762"/>
              <a:gd name="connsiteY4" fmla="*/ 150434 h 647487"/>
              <a:gd name="connsiteX5" fmla="*/ 1166301 w 1366762"/>
              <a:gd name="connsiteY5" fmla="*/ 313720 h 647487"/>
              <a:gd name="connsiteX6" fmla="*/ 1196182 w 1366762"/>
              <a:gd name="connsiteY6" fmla="*/ 351396 h 647487"/>
              <a:gd name="connsiteX7" fmla="*/ 1292501 w 1366762"/>
              <a:gd name="connsiteY7" fmla="*/ 414531 h 647487"/>
              <a:gd name="connsiteX8" fmla="*/ 1356801 w 1366762"/>
              <a:gd name="connsiteY8" fmla="*/ 486077 h 647487"/>
              <a:gd name="connsiteX9" fmla="*/ 1352265 w 1366762"/>
              <a:gd name="connsiteY9" fmla="*/ 522363 h 647487"/>
              <a:gd name="connsiteX10" fmla="*/ 1274092 w 1366762"/>
              <a:gd name="connsiteY10" fmla="*/ 531434 h 647487"/>
              <a:gd name="connsiteX11" fmla="*/ 1184443 w 1366762"/>
              <a:gd name="connsiteY11" fmla="*/ 504220 h 647487"/>
              <a:gd name="connsiteX12" fmla="*/ 1107336 w 1366762"/>
              <a:gd name="connsiteY12" fmla="*/ 540506 h 647487"/>
              <a:gd name="connsiteX13" fmla="*/ 848801 w 1366762"/>
              <a:gd name="connsiteY13" fmla="*/ 613077 h 647487"/>
              <a:gd name="connsiteX14" fmla="*/ 572122 w 1366762"/>
              <a:gd name="connsiteY14" fmla="*/ 644827 h 647487"/>
              <a:gd name="connsiteX15" fmla="*/ 350141 w 1366762"/>
              <a:gd name="connsiteY15" fmla="*/ 626320 h 647487"/>
              <a:gd name="connsiteX16" fmla="*/ 145765 w 1366762"/>
              <a:gd name="connsiteY16" fmla="*/ 517827 h 647487"/>
              <a:gd name="connsiteX17" fmla="*/ 55851 w 1366762"/>
              <a:gd name="connsiteY17" fmla="*/ 444708 h 647487"/>
              <a:gd name="connsiteX18" fmla="*/ 18765 w 1366762"/>
              <a:gd name="connsiteY18" fmla="*/ 363613 h 647487"/>
              <a:gd name="connsiteX0" fmla="*/ 18765 w 1366762"/>
              <a:gd name="connsiteY0" fmla="*/ 363613 h 655923"/>
              <a:gd name="connsiteX1" fmla="*/ 168443 w 1366762"/>
              <a:gd name="connsiteY1" fmla="*/ 150434 h 655923"/>
              <a:gd name="connsiteX2" fmla="*/ 463265 w 1366762"/>
              <a:gd name="connsiteY2" fmla="*/ 18899 h 655923"/>
              <a:gd name="connsiteX3" fmla="*/ 798908 w 1366762"/>
              <a:gd name="connsiteY3" fmla="*/ 37042 h 655923"/>
              <a:gd name="connsiteX4" fmla="*/ 1021158 w 1366762"/>
              <a:gd name="connsiteY4" fmla="*/ 150434 h 655923"/>
              <a:gd name="connsiteX5" fmla="*/ 1166301 w 1366762"/>
              <a:gd name="connsiteY5" fmla="*/ 313720 h 655923"/>
              <a:gd name="connsiteX6" fmla="*/ 1196182 w 1366762"/>
              <a:gd name="connsiteY6" fmla="*/ 351396 h 655923"/>
              <a:gd name="connsiteX7" fmla="*/ 1292501 w 1366762"/>
              <a:gd name="connsiteY7" fmla="*/ 414531 h 655923"/>
              <a:gd name="connsiteX8" fmla="*/ 1356801 w 1366762"/>
              <a:gd name="connsiteY8" fmla="*/ 486077 h 655923"/>
              <a:gd name="connsiteX9" fmla="*/ 1352265 w 1366762"/>
              <a:gd name="connsiteY9" fmla="*/ 522363 h 655923"/>
              <a:gd name="connsiteX10" fmla="*/ 1274092 w 1366762"/>
              <a:gd name="connsiteY10" fmla="*/ 531434 h 655923"/>
              <a:gd name="connsiteX11" fmla="*/ 1184443 w 1366762"/>
              <a:gd name="connsiteY11" fmla="*/ 504220 h 655923"/>
              <a:gd name="connsiteX12" fmla="*/ 1107336 w 1366762"/>
              <a:gd name="connsiteY12" fmla="*/ 540506 h 655923"/>
              <a:gd name="connsiteX13" fmla="*/ 848801 w 1366762"/>
              <a:gd name="connsiteY13" fmla="*/ 613077 h 655923"/>
              <a:gd name="connsiteX14" fmla="*/ 595602 w 1366762"/>
              <a:gd name="connsiteY14" fmla="*/ 653716 h 655923"/>
              <a:gd name="connsiteX15" fmla="*/ 350141 w 1366762"/>
              <a:gd name="connsiteY15" fmla="*/ 626320 h 655923"/>
              <a:gd name="connsiteX16" fmla="*/ 145765 w 1366762"/>
              <a:gd name="connsiteY16" fmla="*/ 517827 h 655923"/>
              <a:gd name="connsiteX17" fmla="*/ 55851 w 1366762"/>
              <a:gd name="connsiteY17" fmla="*/ 444708 h 655923"/>
              <a:gd name="connsiteX18" fmla="*/ 18765 w 1366762"/>
              <a:gd name="connsiteY18" fmla="*/ 363613 h 655923"/>
              <a:gd name="connsiteX0" fmla="*/ 16809 w 1364806"/>
              <a:gd name="connsiteY0" fmla="*/ 363613 h 655923"/>
              <a:gd name="connsiteX1" fmla="*/ 166487 w 1364806"/>
              <a:gd name="connsiteY1" fmla="*/ 150434 h 655923"/>
              <a:gd name="connsiteX2" fmla="*/ 461309 w 1364806"/>
              <a:gd name="connsiteY2" fmla="*/ 18899 h 655923"/>
              <a:gd name="connsiteX3" fmla="*/ 796952 w 1364806"/>
              <a:gd name="connsiteY3" fmla="*/ 37042 h 655923"/>
              <a:gd name="connsiteX4" fmla="*/ 1019202 w 1364806"/>
              <a:gd name="connsiteY4" fmla="*/ 150434 h 655923"/>
              <a:gd name="connsiteX5" fmla="*/ 1164345 w 1364806"/>
              <a:gd name="connsiteY5" fmla="*/ 313720 h 655923"/>
              <a:gd name="connsiteX6" fmla="*/ 1194226 w 1364806"/>
              <a:gd name="connsiteY6" fmla="*/ 351396 h 655923"/>
              <a:gd name="connsiteX7" fmla="*/ 1290545 w 1364806"/>
              <a:gd name="connsiteY7" fmla="*/ 414531 h 655923"/>
              <a:gd name="connsiteX8" fmla="*/ 1354845 w 1364806"/>
              <a:gd name="connsiteY8" fmla="*/ 486077 h 655923"/>
              <a:gd name="connsiteX9" fmla="*/ 1350309 w 1364806"/>
              <a:gd name="connsiteY9" fmla="*/ 522363 h 655923"/>
              <a:gd name="connsiteX10" fmla="*/ 1272136 w 1364806"/>
              <a:gd name="connsiteY10" fmla="*/ 531434 h 655923"/>
              <a:gd name="connsiteX11" fmla="*/ 1182487 w 1364806"/>
              <a:gd name="connsiteY11" fmla="*/ 504220 h 655923"/>
              <a:gd name="connsiteX12" fmla="*/ 1105380 w 1364806"/>
              <a:gd name="connsiteY12" fmla="*/ 540506 h 655923"/>
              <a:gd name="connsiteX13" fmla="*/ 846845 w 1364806"/>
              <a:gd name="connsiteY13" fmla="*/ 613077 h 655923"/>
              <a:gd name="connsiteX14" fmla="*/ 593646 w 1364806"/>
              <a:gd name="connsiteY14" fmla="*/ 653716 h 655923"/>
              <a:gd name="connsiteX15" fmla="*/ 348185 w 1364806"/>
              <a:gd name="connsiteY15" fmla="*/ 626320 h 655923"/>
              <a:gd name="connsiteX16" fmla="*/ 143809 w 1364806"/>
              <a:gd name="connsiteY16" fmla="*/ 517827 h 655923"/>
              <a:gd name="connsiteX17" fmla="*/ 65635 w 1364806"/>
              <a:gd name="connsiteY17" fmla="*/ 462486 h 655923"/>
              <a:gd name="connsiteX18" fmla="*/ 16809 w 1364806"/>
              <a:gd name="connsiteY18" fmla="*/ 363613 h 655923"/>
              <a:gd name="connsiteX0" fmla="*/ 16809 w 1364806"/>
              <a:gd name="connsiteY0" fmla="*/ 354724 h 655923"/>
              <a:gd name="connsiteX1" fmla="*/ 166487 w 1364806"/>
              <a:gd name="connsiteY1" fmla="*/ 150434 h 655923"/>
              <a:gd name="connsiteX2" fmla="*/ 461309 w 1364806"/>
              <a:gd name="connsiteY2" fmla="*/ 18899 h 655923"/>
              <a:gd name="connsiteX3" fmla="*/ 796952 w 1364806"/>
              <a:gd name="connsiteY3" fmla="*/ 37042 h 655923"/>
              <a:gd name="connsiteX4" fmla="*/ 1019202 w 1364806"/>
              <a:gd name="connsiteY4" fmla="*/ 150434 h 655923"/>
              <a:gd name="connsiteX5" fmla="*/ 1164345 w 1364806"/>
              <a:gd name="connsiteY5" fmla="*/ 313720 h 655923"/>
              <a:gd name="connsiteX6" fmla="*/ 1194226 w 1364806"/>
              <a:gd name="connsiteY6" fmla="*/ 351396 h 655923"/>
              <a:gd name="connsiteX7" fmla="*/ 1290545 w 1364806"/>
              <a:gd name="connsiteY7" fmla="*/ 414531 h 655923"/>
              <a:gd name="connsiteX8" fmla="*/ 1354845 w 1364806"/>
              <a:gd name="connsiteY8" fmla="*/ 486077 h 655923"/>
              <a:gd name="connsiteX9" fmla="*/ 1350309 w 1364806"/>
              <a:gd name="connsiteY9" fmla="*/ 522363 h 655923"/>
              <a:gd name="connsiteX10" fmla="*/ 1272136 w 1364806"/>
              <a:gd name="connsiteY10" fmla="*/ 531434 h 655923"/>
              <a:gd name="connsiteX11" fmla="*/ 1182487 w 1364806"/>
              <a:gd name="connsiteY11" fmla="*/ 504220 h 655923"/>
              <a:gd name="connsiteX12" fmla="*/ 1105380 w 1364806"/>
              <a:gd name="connsiteY12" fmla="*/ 540506 h 655923"/>
              <a:gd name="connsiteX13" fmla="*/ 846845 w 1364806"/>
              <a:gd name="connsiteY13" fmla="*/ 613077 h 655923"/>
              <a:gd name="connsiteX14" fmla="*/ 593646 w 1364806"/>
              <a:gd name="connsiteY14" fmla="*/ 653716 h 655923"/>
              <a:gd name="connsiteX15" fmla="*/ 348185 w 1364806"/>
              <a:gd name="connsiteY15" fmla="*/ 626320 h 655923"/>
              <a:gd name="connsiteX16" fmla="*/ 143809 w 1364806"/>
              <a:gd name="connsiteY16" fmla="*/ 517827 h 655923"/>
              <a:gd name="connsiteX17" fmla="*/ 65635 w 1364806"/>
              <a:gd name="connsiteY17" fmla="*/ 462486 h 655923"/>
              <a:gd name="connsiteX18" fmla="*/ 16809 w 1364806"/>
              <a:gd name="connsiteY18" fmla="*/ 354724 h 655923"/>
              <a:gd name="connsiteX0" fmla="*/ 16809 w 1364806"/>
              <a:gd name="connsiteY0" fmla="*/ 354724 h 655923"/>
              <a:gd name="connsiteX1" fmla="*/ 166487 w 1364806"/>
              <a:gd name="connsiteY1" fmla="*/ 150434 h 655923"/>
              <a:gd name="connsiteX2" fmla="*/ 461309 w 1364806"/>
              <a:gd name="connsiteY2" fmla="*/ 18899 h 655923"/>
              <a:gd name="connsiteX3" fmla="*/ 796952 w 1364806"/>
              <a:gd name="connsiteY3" fmla="*/ 37042 h 655923"/>
              <a:gd name="connsiteX4" fmla="*/ 1019202 w 1364806"/>
              <a:gd name="connsiteY4" fmla="*/ 150434 h 655923"/>
              <a:gd name="connsiteX5" fmla="*/ 1164345 w 1364806"/>
              <a:gd name="connsiteY5" fmla="*/ 313720 h 655923"/>
              <a:gd name="connsiteX6" fmla="*/ 1194226 w 1364806"/>
              <a:gd name="connsiteY6" fmla="*/ 351396 h 655923"/>
              <a:gd name="connsiteX7" fmla="*/ 1290545 w 1364806"/>
              <a:gd name="connsiteY7" fmla="*/ 414531 h 655923"/>
              <a:gd name="connsiteX8" fmla="*/ 1354845 w 1364806"/>
              <a:gd name="connsiteY8" fmla="*/ 486077 h 655923"/>
              <a:gd name="connsiteX9" fmla="*/ 1350309 w 1364806"/>
              <a:gd name="connsiteY9" fmla="*/ 522363 h 655923"/>
              <a:gd name="connsiteX10" fmla="*/ 1272136 w 1364806"/>
              <a:gd name="connsiteY10" fmla="*/ 531434 h 655923"/>
              <a:gd name="connsiteX11" fmla="*/ 1182487 w 1364806"/>
              <a:gd name="connsiteY11" fmla="*/ 504220 h 655923"/>
              <a:gd name="connsiteX12" fmla="*/ 1105380 w 1364806"/>
              <a:gd name="connsiteY12" fmla="*/ 540506 h 655923"/>
              <a:gd name="connsiteX13" fmla="*/ 846845 w 1364806"/>
              <a:gd name="connsiteY13" fmla="*/ 613077 h 655923"/>
              <a:gd name="connsiteX14" fmla="*/ 593646 w 1364806"/>
              <a:gd name="connsiteY14" fmla="*/ 653716 h 655923"/>
              <a:gd name="connsiteX15" fmla="*/ 348185 w 1364806"/>
              <a:gd name="connsiteY15" fmla="*/ 626320 h 655923"/>
              <a:gd name="connsiteX16" fmla="*/ 176094 w 1364806"/>
              <a:gd name="connsiteY16" fmla="*/ 547456 h 655923"/>
              <a:gd name="connsiteX17" fmla="*/ 65635 w 1364806"/>
              <a:gd name="connsiteY17" fmla="*/ 462486 h 655923"/>
              <a:gd name="connsiteX18" fmla="*/ 16809 w 1364806"/>
              <a:gd name="connsiteY18" fmla="*/ 354724 h 655923"/>
              <a:gd name="connsiteX0" fmla="*/ 16809 w 1364806"/>
              <a:gd name="connsiteY0" fmla="*/ 354724 h 655923"/>
              <a:gd name="connsiteX1" fmla="*/ 166487 w 1364806"/>
              <a:gd name="connsiteY1" fmla="*/ 150434 h 655923"/>
              <a:gd name="connsiteX2" fmla="*/ 461309 w 1364806"/>
              <a:gd name="connsiteY2" fmla="*/ 18899 h 655923"/>
              <a:gd name="connsiteX3" fmla="*/ 796952 w 1364806"/>
              <a:gd name="connsiteY3" fmla="*/ 37042 h 655923"/>
              <a:gd name="connsiteX4" fmla="*/ 1019202 w 1364806"/>
              <a:gd name="connsiteY4" fmla="*/ 150434 h 655923"/>
              <a:gd name="connsiteX5" fmla="*/ 1164345 w 1364806"/>
              <a:gd name="connsiteY5" fmla="*/ 313720 h 655923"/>
              <a:gd name="connsiteX6" fmla="*/ 1194226 w 1364806"/>
              <a:gd name="connsiteY6" fmla="*/ 351396 h 655923"/>
              <a:gd name="connsiteX7" fmla="*/ 1290545 w 1364806"/>
              <a:gd name="connsiteY7" fmla="*/ 414531 h 655923"/>
              <a:gd name="connsiteX8" fmla="*/ 1354845 w 1364806"/>
              <a:gd name="connsiteY8" fmla="*/ 486077 h 655923"/>
              <a:gd name="connsiteX9" fmla="*/ 1350309 w 1364806"/>
              <a:gd name="connsiteY9" fmla="*/ 522363 h 655923"/>
              <a:gd name="connsiteX10" fmla="*/ 1272136 w 1364806"/>
              <a:gd name="connsiteY10" fmla="*/ 531434 h 655923"/>
              <a:gd name="connsiteX11" fmla="*/ 1182487 w 1364806"/>
              <a:gd name="connsiteY11" fmla="*/ 504220 h 655923"/>
              <a:gd name="connsiteX12" fmla="*/ 1105380 w 1364806"/>
              <a:gd name="connsiteY12" fmla="*/ 540506 h 655923"/>
              <a:gd name="connsiteX13" fmla="*/ 846845 w 1364806"/>
              <a:gd name="connsiteY13" fmla="*/ 613077 h 655923"/>
              <a:gd name="connsiteX14" fmla="*/ 593646 w 1364806"/>
              <a:gd name="connsiteY14" fmla="*/ 653716 h 655923"/>
              <a:gd name="connsiteX15" fmla="*/ 348185 w 1364806"/>
              <a:gd name="connsiteY15" fmla="*/ 626320 h 655923"/>
              <a:gd name="connsiteX16" fmla="*/ 176094 w 1364806"/>
              <a:gd name="connsiteY16" fmla="*/ 547456 h 655923"/>
              <a:gd name="connsiteX17" fmla="*/ 65635 w 1364806"/>
              <a:gd name="connsiteY17" fmla="*/ 462486 h 655923"/>
              <a:gd name="connsiteX18" fmla="*/ 16809 w 1364806"/>
              <a:gd name="connsiteY18" fmla="*/ 354724 h 655923"/>
              <a:gd name="connsiteX0" fmla="*/ 16809 w 1364806"/>
              <a:gd name="connsiteY0" fmla="*/ 360650 h 661849"/>
              <a:gd name="connsiteX1" fmla="*/ 166487 w 1364806"/>
              <a:gd name="connsiteY1" fmla="*/ 156360 h 661849"/>
              <a:gd name="connsiteX2" fmla="*/ 481854 w 1364806"/>
              <a:gd name="connsiteY2" fmla="*/ 18899 h 661849"/>
              <a:gd name="connsiteX3" fmla="*/ 796952 w 1364806"/>
              <a:gd name="connsiteY3" fmla="*/ 42968 h 661849"/>
              <a:gd name="connsiteX4" fmla="*/ 1019202 w 1364806"/>
              <a:gd name="connsiteY4" fmla="*/ 156360 h 661849"/>
              <a:gd name="connsiteX5" fmla="*/ 1164345 w 1364806"/>
              <a:gd name="connsiteY5" fmla="*/ 319646 h 661849"/>
              <a:gd name="connsiteX6" fmla="*/ 1194226 w 1364806"/>
              <a:gd name="connsiteY6" fmla="*/ 357322 h 661849"/>
              <a:gd name="connsiteX7" fmla="*/ 1290545 w 1364806"/>
              <a:gd name="connsiteY7" fmla="*/ 420457 h 661849"/>
              <a:gd name="connsiteX8" fmla="*/ 1354845 w 1364806"/>
              <a:gd name="connsiteY8" fmla="*/ 492003 h 661849"/>
              <a:gd name="connsiteX9" fmla="*/ 1350309 w 1364806"/>
              <a:gd name="connsiteY9" fmla="*/ 528289 h 661849"/>
              <a:gd name="connsiteX10" fmla="*/ 1272136 w 1364806"/>
              <a:gd name="connsiteY10" fmla="*/ 537360 h 661849"/>
              <a:gd name="connsiteX11" fmla="*/ 1182487 w 1364806"/>
              <a:gd name="connsiteY11" fmla="*/ 510146 h 661849"/>
              <a:gd name="connsiteX12" fmla="*/ 1105380 w 1364806"/>
              <a:gd name="connsiteY12" fmla="*/ 546432 h 661849"/>
              <a:gd name="connsiteX13" fmla="*/ 846845 w 1364806"/>
              <a:gd name="connsiteY13" fmla="*/ 619003 h 661849"/>
              <a:gd name="connsiteX14" fmla="*/ 593646 w 1364806"/>
              <a:gd name="connsiteY14" fmla="*/ 659642 h 661849"/>
              <a:gd name="connsiteX15" fmla="*/ 348185 w 1364806"/>
              <a:gd name="connsiteY15" fmla="*/ 632246 h 661849"/>
              <a:gd name="connsiteX16" fmla="*/ 176094 w 1364806"/>
              <a:gd name="connsiteY16" fmla="*/ 553382 h 661849"/>
              <a:gd name="connsiteX17" fmla="*/ 65635 w 1364806"/>
              <a:gd name="connsiteY17" fmla="*/ 468412 h 661849"/>
              <a:gd name="connsiteX18" fmla="*/ 16809 w 1364806"/>
              <a:gd name="connsiteY18" fmla="*/ 360650 h 661849"/>
              <a:gd name="connsiteX0" fmla="*/ 16809 w 1364806"/>
              <a:gd name="connsiteY0" fmla="*/ 360650 h 664812"/>
              <a:gd name="connsiteX1" fmla="*/ 166487 w 1364806"/>
              <a:gd name="connsiteY1" fmla="*/ 156360 h 664812"/>
              <a:gd name="connsiteX2" fmla="*/ 481854 w 1364806"/>
              <a:gd name="connsiteY2" fmla="*/ 18899 h 664812"/>
              <a:gd name="connsiteX3" fmla="*/ 796952 w 1364806"/>
              <a:gd name="connsiteY3" fmla="*/ 42968 h 664812"/>
              <a:gd name="connsiteX4" fmla="*/ 1019202 w 1364806"/>
              <a:gd name="connsiteY4" fmla="*/ 156360 h 664812"/>
              <a:gd name="connsiteX5" fmla="*/ 1164345 w 1364806"/>
              <a:gd name="connsiteY5" fmla="*/ 319646 h 664812"/>
              <a:gd name="connsiteX6" fmla="*/ 1194226 w 1364806"/>
              <a:gd name="connsiteY6" fmla="*/ 357322 h 664812"/>
              <a:gd name="connsiteX7" fmla="*/ 1290545 w 1364806"/>
              <a:gd name="connsiteY7" fmla="*/ 420457 h 664812"/>
              <a:gd name="connsiteX8" fmla="*/ 1354845 w 1364806"/>
              <a:gd name="connsiteY8" fmla="*/ 492003 h 664812"/>
              <a:gd name="connsiteX9" fmla="*/ 1350309 w 1364806"/>
              <a:gd name="connsiteY9" fmla="*/ 528289 h 664812"/>
              <a:gd name="connsiteX10" fmla="*/ 1272136 w 1364806"/>
              <a:gd name="connsiteY10" fmla="*/ 537360 h 664812"/>
              <a:gd name="connsiteX11" fmla="*/ 1182487 w 1364806"/>
              <a:gd name="connsiteY11" fmla="*/ 510146 h 664812"/>
              <a:gd name="connsiteX12" fmla="*/ 1105380 w 1364806"/>
              <a:gd name="connsiteY12" fmla="*/ 546432 h 664812"/>
              <a:gd name="connsiteX13" fmla="*/ 846845 w 1364806"/>
              <a:gd name="connsiteY13" fmla="*/ 619003 h 664812"/>
              <a:gd name="connsiteX14" fmla="*/ 584841 w 1364806"/>
              <a:gd name="connsiteY14" fmla="*/ 662605 h 664812"/>
              <a:gd name="connsiteX15" fmla="*/ 348185 w 1364806"/>
              <a:gd name="connsiteY15" fmla="*/ 632246 h 664812"/>
              <a:gd name="connsiteX16" fmla="*/ 176094 w 1364806"/>
              <a:gd name="connsiteY16" fmla="*/ 553382 h 664812"/>
              <a:gd name="connsiteX17" fmla="*/ 65635 w 1364806"/>
              <a:gd name="connsiteY17" fmla="*/ 468412 h 664812"/>
              <a:gd name="connsiteX18" fmla="*/ 16809 w 136480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2136 w 1364316"/>
              <a:gd name="connsiteY10" fmla="*/ 537360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5071 w 1364316"/>
              <a:gd name="connsiteY10" fmla="*/ 534398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5071 w 1364316"/>
              <a:gd name="connsiteY10" fmla="*/ 534398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5071 w 1364316"/>
              <a:gd name="connsiteY10" fmla="*/ 534398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5071 w 1364316"/>
              <a:gd name="connsiteY10" fmla="*/ 534398 h 664812"/>
              <a:gd name="connsiteX11" fmla="*/ 1182487 w 1364316"/>
              <a:gd name="connsiteY11" fmla="*/ 510146 h 664812"/>
              <a:gd name="connsiteX12" fmla="*/ 1105380 w 1364316"/>
              <a:gd name="connsiteY12" fmla="*/ 546432 h 664812"/>
              <a:gd name="connsiteX13" fmla="*/ 846845 w 1364316"/>
              <a:gd name="connsiteY13" fmla="*/ 619003 h 664812"/>
              <a:gd name="connsiteX14" fmla="*/ 584841 w 1364316"/>
              <a:gd name="connsiteY14" fmla="*/ 662605 h 664812"/>
              <a:gd name="connsiteX15" fmla="*/ 348185 w 1364316"/>
              <a:gd name="connsiteY15" fmla="*/ 632246 h 664812"/>
              <a:gd name="connsiteX16" fmla="*/ 176094 w 1364316"/>
              <a:gd name="connsiteY16" fmla="*/ 553382 h 664812"/>
              <a:gd name="connsiteX17" fmla="*/ 65635 w 1364316"/>
              <a:gd name="connsiteY17" fmla="*/ 468412 h 664812"/>
              <a:gd name="connsiteX18" fmla="*/ 16809 w 1364316"/>
              <a:gd name="connsiteY18" fmla="*/ 360650 h 664812"/>
              <a:gd name="connsiteX0" fmla="*/ 16809 w 1379035"/>
              <a:gd name="connsiteY0" fmla="*/ 360650 h 664812"/>
              <a:gd name="connsiteX1" fmla="*/ 166487 w 1379035"/>
              <a:gd name="connsiteY1" fmla="*/ 156360 h 664812"/>
              <a:gd name="connsiteX2" fmla="*/ 481854 w 1379035"/>
              <a:gd name="connsiteY2" fmla="*/ 18899 h 664812"/>
              <a:gd name="connsiteX3" fmla="*/ 796952 w 1379035"/>
              <a:gd name="connsiteY3" fmla="*/ 42968 h 664812"/>
              <a:gd name="connsiteX4" fmla="*/ 1019202 w 1379035"/>
              <a:gd name="connsiteY4" fmla="*/ 156360 h 664812"/>
              <a:gd name="connsiteX5" fmla="*/ 1164345 w 1379035"/>
              <a:gd name="connsiteY5" fmla="*/ 319646 h 664812"/>
              <a:gd name="connsiteX6" fmla="*/ 1194226 w 1379035"/>
              <a:gd name="connsiteY6" fmla="*/ 357322 h 664812"/>
              <a:gd name="connsiteX7" fmla="*/ 1293481 w 1379035"/>
              <a:gd name="connsiteY7" fmla="*/ 423421 h 664812"/>
              <a:gd name="connsiteX8" fmla="*/ 1354845 w 1379035"/>
              <a:gd name="connsiteY8" fmla="*/ 492003 h 664812"/>
              <a:gd name="connsiteX9" fmla="*/ 1350309 w 1379035"/>
              <a:gd name="connsiteY9" fmla="*/ 528289 h 664812"/>
              <a:gd name="connsiteX10" fmla="*/ 1182487 w 1379035"/>
              <a:gd name="connsiteY10" fmla="*/ 510146 h 664812"/>
              <a:gd name="connsiteX11" fmla="*/ 1105380 w 1379035"/>
              <a:gd name="connsiteY11" fmla="*/ 546432 h 664812"/>
              <a:gd name="connsiteX12" fmla="*/ 846845 w 1379035"/>
              <a:gd name="connsiteY12" fmla="*/ 619003 h 664812"/>
              <a:gd name="connsiteX13" fmla="*/ 584841 w 1379035"/>
              <a:gd name="connsiteY13" fmla="*/ 662605 h 664812"/>
              <a:gd name="connsiteX14" fmla="*/ 348185 w 1379035"/>
              <a:gd name="connsiteY14" fmla="*/ 632246 h 664812"/>
              <a:gd name="connsiteX15" fmla="*/ 176094 w 1379035"/>
              <a:gd name="connsiteY15" fmla="*/ 553382 h 664812"/>
              <a:gd name="connsiteX16" fmla="*/ 65635 w 1379035"/>
              <a:gd name="connsiteY16" fmla="*/ 468412 h 664812"/>
              <a:gd name="connsiteX17" fmla="*/ 16809 w 1379035"/>
              <a:gd name="connsiteY17" fmla="*/ 360650 h 664812"/>
              <a:gd name="connsiteX0" fmla="*/ 16809 w 1364756"/>
              <a:gd name="connsiteY0" fmla="*/ 360650 h 664812"/>
              <a:gd name="connsiteX1" fmla="*/ 166487 w 1364756"/>
              <a:gd name="connsiteY1" fmla="*/ 156360 h 664812"/>
              <a:gd name="connsiteX2" fmla="*/ 481854 w 1364756"/>
              <a:gd name="connsiteY2" fmla="*/ 18899 h 664812"/>
              <a:gd name="connsiteX3" fmla="*/ 796952 w 1364756"/>
              <a:gd name="connsiteY3" fmla="*/ 42968 h 664812"/>
              <a:gd name="connsiteX4" fmla="*/ 1019202 w 1364756"/>
              <a:gd name="connsiteY4" fmla="*/ 156360 h 664812"/>
              <a:gd name="connsiteX5" fmla="*/ 1164345 w 1364756"/>
              <a:gd name="connsiteY5" fmla="*/ 319646 h 664812"/>
              <a:gd name="connsiteX6" fmla="*/ 1194226 w 1364756"/>
              <a:gd name="connsiteY6" fmla="*/ 357322 h 664812"/>
              <a:gd name="connsiteX7" fmla="*/ 1293481 w 1364756"/>
              <a:gd name="connsiteY7" fmla="*/ 423421 h 664812"/>
              <a:gd name="connsiteX8" fmla="*/ 1354845 w 1364756"/>
              <a:gd name="connsiteY8" fmla="*/ 492003 h 664812"/>
              <a:gd name="connsiteX9" fmla="*/ 1350309 w 1364756"/>
              <a:gd name="connsiteY9" fmla="*/ 528289 h 664812"/>
              <a:gd name="connsiteX10" fmla="*/ 1268162 w 1364756"/>
              <a:gd name="connsiteY10" fmla="*/ 519954 h 664812"/>
              <a:gd name="connsiteX11" fmla="*/ 1182487 w 1364756"/>
              <a:gd name="connsiteY11" fmla="*/ 510146 h 664812"/>
              <a:gd name="connsiteX12" fmla="*/ 1105380 w 1364756"/>
              <a:gd name="connsiteY12" fmla="*/ 546432 h 664812"/>
              <a:gd name="connsiteX13" fmla="*/ 846845 w 1364756"/>
              <a:gd name="connsiteY13" fmla="*/ 619003 h 664812"/>
              <a:gd name="connsiteX14" fmla="*/ 584841 w 1364756"/>
              <a:gd name="connsiteY14" fmla="*/ 662605 h 664812"/>
              <a:gd name="connsiteX15" fmla="*/ 348185 w 1364756"/>
              <a:gd name="connsiteY15" fmla="*/ 632246 h 664812"/>
              <a:gd name="connsiteX16" fmla="*/ 176094 w 1364756"/>
              <a:gd name="connsiteY16" fmla="*/ 553382 h 664812"/>
              <a:gd name="connsiteX17" fmla="*/ 65635 w 1364756"/>
              <a:gd name="connsiteY17" fmla="*/ 468412 h 664812"/>
              <a:gd name="connsiteX18" fmla="*/ 16809 w 1364756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82487 w 1365245"/>
              <a:gd name="connsiteY11" fmla="*/ 510146 h 664812"/>
              <a:gd name="connsiteX12" fmla="*/ 1105380 w 1365245"/>
              <a:gd name="connsiteY12" fmla="*/ 546432 h 664812"/>
              <a:gd name="connsiteX13" fmla="*/ 846845 w 1365245"/>
              <a:gd name="connsiteY13" fmla="*/ 619003 h 664812"/>
              <a:gd name="connsiteX14" fmla="*/ 584841 w 1365245"/>
              <a:gd name="connsiteY14" fmla="*/ 662605 h 664812"/>
              <a:gd name="connsiteX15" fmla="*/ 348185 w 1365245"/>
              <a:gd name="connsiteY15" fmla="*/ 632246 h 664812"/>
              <a:gd name="connsiteX16" fmla="*/ 176094 w 1365245"/>
              <a:gd name="connsiteY16" fmla="*/ 553382 h 664812"/>
              <a:gd name="connsiteX17" fmla="*/ 65635 w 1365245"/>
              <a:gd name="connsiteY17" fmla="*/ 468412 h 664812"/>
              <a:gd name="connsiteX18" fmla="*/ 16809 w 1365245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82487 w 1365245"/>
              <a:gd name="connsiteY11" fmla="*/ 510146 h 664812"/>
              <a:gd name="connsiteX12" fmla="*/ 1105380 w 1365245"/>
              <a:gd name="connsiteY12" fmla="*/ 546432 h 664812"/>
              <a:gd name="connsiteX13" fmla="*/ 846845 w 1365245"/>
              <a:gd name="connsiteY13" fmla="*/ 619003 h 664812"/>
              <a:gd name="connsiteX14" fmla="*/ 584841 w 1365245"/>
              <a:gd name="connsiteY14" fmla="*/ 662605 h 664812"/>
              <a:gd name="connsiteX15" fmla="*/ 348185 w 1365245"/>
              <a:gd name="connsiteY15" fmla="*/ 632246 h 664812"/>
              <a:gd name="connsiteX16" fmla="*/ 176094 w 1365245"/>
              <a:gd name="connsiteY16" fmla="*/ 553382 h 664812"/>
              <a:gd name="connsiteX17" fmla="*/ 65635 w 1365245"/>
              <a:gd name="connsiteY17" fmla="*/ 468412 h 664812"/>
              <a:gd name="connsiteX18" fmla="*/ 16809 w 1365245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79553 w 1365245"/>
              <a:gd name="connsiteY11" fmla="*/ 492369 h 664812"/>
              <a:gd name="connsiteX12" fmla="*/ 1105380 w 1365245"/>
              <a:gd name="connsiteY12" fmla="*/ 546432 h 664812"/>
              <a:gd name="connsiteX13" fmla="*/ 846845 w 1365245"/>
              <a:gd name="connsiteY13" fmla="*/ 619003 h 664812"/>
              <a:gd name="connsiteX14" fmla="*/ 584841 w 1365245"/>
              <a:gd name="connsiteY14" fmla="*/ 662605 h 664812"/>
              <a:gd name="connsiteX15" fmla="*/ 348185 w 1365245"/>
              <a:gd name="connsiteY15" fmla="*/ 632246 h 664812"/>
              <a:gd name="connsiteX16" fmla="*/ 176094 w 1365245"/>
              <a:gd name="connsiteY16" fmla="*/ 553382 h 664812"/>
              <a:gd name="connsiteX17" fmla="*/ 65635 w 1365245"/>
              <a:gd name="connsiteY17" fmla="*/ 468412 h 664812"/>
              <a:gd name="connsiteX18" fmla="*/ 16809 w 1365245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88358 w 1365245"/>
              <a:gd name="connsiteY11" fmla="*/ 501257 h 664812"/>
              <a:gd name="connsiteX12" fmla="*/ 1105380 w 1365245"/>
              <a:gd name="connsiteY12" fmla="*/ 546432 h 664812"/>
              <a:gd name="connsiteX13" fmla="*/ 846845 w 1365245"/>
              <a:gd name="connsiteY13" fmla="*/ 619003 h 664812"/>
              <a:gd name="connsiteX14" fmla="*/ 584841 w 1365245"/>
              <a:gd name="connsiteY14" fmla="*/ 662605 h 664812"/>
              <a:gd name="connsiteX15" fmla="*/ 348185 w 1365245"/>
              <a:gd name="connsiteY15" fmla="*/ 632246 h 664812"/>
              <a:gd name="connsiteX16" fmla="*/ 176094 w 1365245"/>
              <a:gd name="connsiteY16" fmla="*/ 553382 h 664812"/>
              <a:gd name="connsiteX17" fmla="*/ 65635 w 1365245"/>
              <a:gd name="connsiteY17" fmla="*/ 468412 h 664812"/>
              <a:gd name="connsiteX18" fmla="*/ 16809 w 1365245"/>
              <a:gd name="connsiteY18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88358 w 1365245"/>
              <a:gd name="connsiteY11" fmla="*/ 501257 h 664812"/>
              <a:gd name="connsiteX12" fmla="*/ 1171308 w 1365245"/>
              <a:gd name="connsiteY12" fmla="*/ 508102 h 664812"/>
              <a:gd name="connsiteX13" fmla="*/ 1105380 w 1365245"/>
              <a:gd name="connsiteY13" fmla="*/ 546432 h 664812"/>
              <a:gd name="connsiteX14" fmla="*/ 846845 w 1365245"/>
              <a:gd name="connsiteY14" fmla="*/ 619003 h 664812"/>
              <a:gd name="connsiteX15" fmla="*/ 584841 w 1365245"/>
              <a:gd name="connsiteY15" fmla="*/ 662605 h 664812"/>
              <a:gd name="connsiteX16" fmla="*/ 348185 w 1365245"/>
              <a:gd name="connsiteY16" fmla="*/ 632246 h 664812"/>
              <a:gd name="connsiteX17" fmla="*/ 176094 w 1365245"/>
              <a:gd name="connsiteY17" fmla="*/ 553382 h 664812"/>
              <a:gd name="connsiteX18" fmla="*/ 65635 w 1365245"/>
              <a:gd name="connsiteY18" fmla="*/ 468412 h 664812"/>
              <a:gd name="connsiteX19" fmla="*/ 16809 w 1365245"/>
              <a:gd name="connsiteY19" fmla="*/ 360650 h 664812"/>
              <a:gd name="connsiteX0" fmla="*/ 16809 w 1365245"/>
              <a:gd name="connsiteY0" fmla="*/ 360650 h 664812"/>
              <a:gd name="connsiteX1" fmla="*/ 166487 w 1365245"/>
              <a:gd name="connsiteY1" fmla="*/ 156360 h 664812"/>
              <a:gd name="connsiteX2" fmla="*/ 481854 w 1365245"/>
              <a:gd name="connsiteY2" fmla="*/ 18899 h 664812"/>
              <a:gd name="connsiteX3" fmla="*/ 796952 w 1365245"/>
              <a:gd name="connsiteY3" fmla="*/ 42968 h 664812"/>
              <a:gd name="connsiteX4" fmla="*/ 1019202 w 1365245"/>
              <a:gd name="connsiteY4" fmla="*/ 156360 h 664812"/>
              <a:gd name="connsiteX5" fmla="*/ 1164345 w 1365245"/>
              <a:gd name="connsiteY5" fmla="*/ 319646 h 664812"/>
              <a:gd name="connsiteX6" fmla="*/ 1194226 w 1365245"/>
              <a:gd name="connsiteY6" fmla="*/ 357322 h 664812"/>
              <a:gd name="connsiteX7" fmla="*/ 1293481 w 1365245"/>
              <a:gd name="connsiteY7" fmla="*/ 423421 h 664812"/>
              <a:gd name="connsiteX8" fmla="*/ 1354845 w 1365245"/>
              <a:gd name="connsiteY8" fmla="*/ 492003 h 664812"/>
              <a:gd name="connsiteX9" fmla="*/ 1350309 w 1365245"/>
              <a:gd name="connsiteY9" fmla="*/ 528289 h 664812"/>
              <a:gd name="connsiteX10" fmla="*/ 1265227 w 1365245"/>
              <a:gd name="connsiteY10" fmla="*/ 528844 h 664812"/>
              <a:gd name="connsiteX11" fmla="*/ 1195474 w 1365245"/>
              <a:gd name="connsiteY11" fmla="*/ 498863 h 664812"/>
              <a:gd name="connsiteX12" fmla="*/ 1171308 w 1365245"/>
              <a:gd name="connsiteY12" fmla="*/ 508102 h 664812"/>
              <a:gd name="connsiteX13" fmla="*/ 1105380 w 1365245"/>
              <a:gd name="connsiteY13" fmla="*/ 546432 h 664812"/>
              <a:gd name="connsiteX14" fmla="*/ 846845 w 1365245"/>
              <a:gd name="connsiteY14" fmla="*/ 619003 h 664812"/>
              <a:gd name="connsiteX15" fmla="*/ 584841 w 1365245"/>
              <a:gd name="connsiteY15" fmla="*/ 662605 h 664812"/>
              <a:gd name="connsiteX16" fmla="*/ 348185 w 1365245"/>
              <a:gd name="connsiteY16" fmla="*/ 632246 h 664812"/>
              <a:gd name="connsiteX17" fmla="*/ 176094 w 1365245"/>
              <a:gd name="connsiteY17" fmla="*/ 553382 h 664812"/>
              <a:gd name="connsiteX18" fmla="*/ 65635 w 1365245"/>
              <a:gd name="connsiteY18" fmla="*/ 468412 h 664812"/>
              <a:gd name="connsiteX19" fmla="*/ 16809 w 1365245"/>
              <a:gd name="connsiteY19" fmla="*/ 360650 h 664812"/>
              <a:gd name="connsiteX0" fmla="*/ 16809 w 1364316"/>
              <a:gd name="connsiteY0" fmla="*/ 360650 h 664812"/>
              <a:gd name="connsiteX1" fmla="*/ 166487 w 1364316"/>
              <a:gd name="connsiteY1" fmla="*/ 156360 h 664812"/>
              <a:gd name="connsiteX2" fmla="*/ 481854 w 1364316"/>
              <a:gd name="connsiteY2" fmla="*/ 18899 h 664812"/>
              <a:gd name="connsiteX3" fmla="*/ 796952 w 1364316"/>
              <a:gd name="connsiteY3" fmla="*/ 42968 h 664812"/>
              <a:gd name="connsiteX4" fmla="*/ 1019202 w 1364316"/>
              <a:gd name="connsiteY4" fmla="*/ 156360 h 664812"/>
              <a:gd name="connsiteX5" fmla="*/ 1164345 w 1364316"/>
              <a:gd name="connsiteY5" fmla="*/ 319646 h 664812"/>
              <a:gd name="connsiteX6" fmla="*/ 1194226 w 1364316"/>
              <a:gd name="connsiteY6" fmla="*/ 357322 h 664812"/>
              <a:gd name="connsiteX7" fmla="*/ 1293481 w 1364316"/>
              <a:gd name="connsiteY7" fmla="*/ 423421 h 664812"/>
              <a:gd name="connsiteX8" fmla="*/ 1354845 w 1364316"/>
              <a:gd name="connsiteY8" fmla="*/ 492003 h 664812"/>
              <a:gd name="connsiteX9" fmla="*/ 1350309 w 1364316"/>
              <a:gd name="connsiteY9" fmla="*/ 528289 h 664812"/>
              <a:gd name="connsiteX10" fmla="*/ 1277086 w 1364316"/>
              <a:gd name="connsiteY10" fmla="*/ 526450 h 664812"/>
              <a:gd name="connsiteX11" fmla="*/ 1195474 w 1364316"/>
              <a:gd name="connsiteY11" fmla="*/ 498863 h 664812"/>
              <a:gd name="connsiteX12" fmla="*/ 1171308 w 1364316"/>
              <a:gd name="connsiteY12" fmla="*/ 508102 h 664812"/>
              <a:gd name="connsiteX13" fmla="*/ 1105380 w 1364316"/>
              <a:gd name="connsiteY13" fmla="*/ 546432 h 664812"/>
              <a:gd name="connsiteX14" fmla="*/ 846845 w 1364316"/>
              <a:gd name="connsiteY14" fmla="*/ 619003 h 664812"/>
              <a:gd name="connsiteX15" fmla="*/ 584841 w 1364316"/>
              <a:gd name="connsiteY15" fmla="*/ 662605 h 664812"/>
              <a:gd name="connsiteX16" fmla="*/ 348185 w 1364316"/>
              <a:gd name="connsiteY16" fmla="*/ 632246 h 664812"/>
              <a:gd name="connsiteX17" fmla="*/ 176094 w 1364316"/>
              <a:gd name="connsiteY17" fmla="*/ 553382 h 664812"/>
              <a:gd name="connsiteX18" fmla="*/ 65635 w 1364316"/>
              <a:gd name="connsiteY18" fmla="*/ 468412 h 664812"/>
              <a:gd name="connsiteX19" fmla="*/ 16809 w 1364316"/>
              <a:gd name="connsiteY19" fmla="*/ 360650 h 664812"/>
              <a:gd name="connsiteX0" fmla="*/ 19576 w 1367083"/>
              <a:gd name="connsiteY0" fmla="*/ 360650 h 664812"/>
              <a:gd name="connsiteX1" fmla="*/ 169254 w 1367083"/>
              <a:gd name="connsiteY1" fmla="*/ 156360 h 664812"/>
              <a:gd name="connsiteX2" fmla="*/ 484621 w 1367083"/>
              <a:gd name="connsiteY2" fmla="*/ 18899 h 664812"/>
              <a:gd name="connsiteX3" fmla="*/ 799719 w 1367083"/>
              <a:gd name="connsiteY3" fmla="*/ 42968 h 664812"/>
              <a:gd name="connsiteX4" fmla="*/ 1021969 w 1367083"/>
              <a:gd name="connsiteY4" fmla="*/ 156360 h 664812"/>
              <a:gd name="connsiteX5" fmla="*/ 1167112 w 1367083"/>
              <a:gd name="connsiteY5" fmla="*/ 319646 h 664812"/>
              <a:gd name="connsiteX6" fmla="*/ 1196993 w 1367083"/>
              <a:gd name="connsiteY6" fmla="*/ 357322 h 664812"/>
              <a:gd name="connsiteX7" fmla="*/ 1296248 w 1367083"/>
              <a:gd name="connsiteY7" fmla="*/ 423421 h 664812"/>
              <a:gd name="connsiteX8" fmla="*/ 1357612 w 1367083"/>
              <a:gd name="connsiteY8" fmla="*/ 492003 h 664812"/>
              <a:gd name="connsiteX9" fmla="*/ 1353076 w 1367083"/>
              <a:gd name="connsiteY9" fmla="*/ 528289 h 664812"/>
              <a:gd name="connsiteX10" fmla="*/ 1279853 w 1367083"/>
              <a:gd name="connsiteY10" fmla="*/ 526450 h 664812"/>
              <a:gd name="connsiteX11" fmla="*/ 1198241 w 1367083"/>
              <a:gd name="connsiteY11" fmla="*/ 498863 h 664812"/>
              <a:gd name="connsiteX12" fmla="*/ 1174075 w 1367083"/>
              <a:gd name="connsiteY12" fmla="*/ 508102 h 664812"/>
              <a:gd name="connsiteX13" fmla="*/ 1108147 w 1367083"/>
              <a:gd name="connsiteY13" fmla="*/ 546432 h 664812"/>
              <a:gd name="connsiteX14" fmla="*/ 849612 w 1367083"/>
              <a:gd name="connsiteY14" fmla="*/ 619003 h 664812"/>
              <a:gd name="connsiteX15" fmla="*/ 587608 w 1367083"/>
              <a:gd name="connsiteY15" fmla="*/ 662605 h 664812"/>
              <a:gd name="connsiteX16" fmla="*/ 350952 w 1367083"/>
              <a:gd name="connsiteY16" fmla="*/ 632246 h 664812"/>
              <a:gd name="connsiteX17" fmla="*/ 178861 w 1367083"/>
              <a:gd name="connsiteY17" fmla="*/ 553382 h 664812"/>
              <a:gd name="connsiteX18" fmla="*/ 51799 w 1367083"/>
              <a:gd name="connsiteY18" fmla="*/ 454042 h 664812"/>
              <a:gd name="connsiteX19" fmla="*/ 19576 w 1367083"/>
              <a:gd name="connsiteY19" fmla="*/ 360650 h 6648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1367083" h="664812">
                <a:moveTo>
                  <a:pt x="19576" y="360650"/>
                </a:moveTo>
                <a:cubicBezTo>
                  <a:pt x="39152" y="311036"/>
                  <a:pt x="91746" y="213319"/>
                  <a:pt x="169254" y="156360"/>
                </a:cubicBezTo>
                <a:cubicBezTo>
                  <a:pt x="246762" y="99401"/>
                  <a:pt x="379544" y="37798"/>
                  <a:pt x="484621" y="18899"/>
                </a:cubicBezTo>
                <a:cubicBezTo>
                  <a:pt x="589698" y="0"/>
                  <a:pt x="710161" y="20058"/>
                  <a:pt x="799719" y="42968"/>
                </a:cubicBezTo>
                <a:cubicBezTo>
                  <a:pt x="889277" y="65878"/>
                  <a:pt x="960737" y="110247"/>
                  <a:pt x="1021969" y="156360"/>
                </a:cubicBezTo>
                <a:cubicBezTo>
                  <a:pt x="1083201" y="202473"/>
                  <a:pt x="1137941" y="286152"/>
                  <a:pt x="1167112" y="319646"/>
                </a:cubicBezTo>
                <a:cubicBezTo>
                  <a:pt x="1196283" y="353140"/>
                  <a:pt x="1175470" y="340026"/>
                  <a:pt x="1196993" y="357322"/>
                </a:cubicBezTo>
                <a:cubicBezTo>
                  <a:pt x="1218516" y="374618"/>
                  <a:pt x="1269478" y="400974"/>
                  <a:pt x="1296248" y="423421"/>
                </a:cubicBezTo>
                <a:cubicBezTo>
                  <a:pt x="1323018" y="445868"/>
                  <a:pt x="1348141" y="474525"/>
                  <a:pt x="1357612" y="492003"/>
                </a:cubicBezTo>
                <a:cubicBezTo>
                  <a:pt x="1367083" y="509481"/>
                  <a:pt x="1366036" y="522548"/>
                  <a:pt x="1353076" y="528289"/>
                </a:cubicBezTo>
                <a:cubicBezTo>
                  <a:pt x="1340116" y="534030"/>
                  <a:pt x="1305659" y="531354"/>
                  <a:pt x="1279853" y="526450"/>
                </a:cubicBezTo>
                <a:cubicBezTo>
                  <a:pt x="1254047" y="521546"/>
                  <a:pt x="1215871" y="501921"/>
                  <a:pt x="1198241" y="498863"/>
                </a:cubicBezTo>
                <a:cubicBezTo>
                  <a:pt x="1180611" y="495805"/>
                  <a:pt x="1189091" y="500174"/>
                  <a:pt x="1174075" y="508102"/>
                </a:cubicBezTo>
                <a:cubicBezTo>
                  <a:pt x="1159059" y="516030"/>
                  <a:pt x="1162224" y="527949"/>
                  <a:pt x="1108147" y="546432"/>
                </a:cubicBezTo>
                <a:cubicBezTo>
                  <a:pt x="1054070" y="564915"/>
                  <a:pt x="936368" y="599641"/>
                  <a:pt x="849612" y="619003"/>
                </a:cubicBezTo>
                <a:cubicBezTo>
                  <a:pt x="762856" y="638365"/>
                  <a:pt x="670718" y="660398"/>
                  <a:pt x="587608" y="662605"/>
                </a:cubicBezTo>
                <a:cubicBezTo>
                  <a:pt x="504498" y="664812"/>
                  <a:pt x="419076" y="650450"/>
                  <a:pt x="350952" y="632246"/>
                </a:cubicBezTo>
                <a:cubicBezTo>
                  <a:pt x="282828" y="614042"/>
                  <a:pt x="225953" y="580688"/>
                  <a:pt x="178861" y="553382"/>
                </a:cubicBezTo>
                <a:cubicBezTo>
                  <a:pt x="131769" y="520151"/>
                  <a:pt x="78346" y="486164"/>
                  <a:pt x="51799" y="454042"/>
                </a:cubicBezTo>
                <a:cubicBezTo>
                  <a:pt x="25252" y="421920"/>
                  <a:pt x="0" y="410264"/>
                  <a:pt x="19576" y="360650"/>
                </a:cubicBezTo>
                <a:close/>
              </a:path>
            </a:pathLst>
          </a:custGeom>
          <a:noFill/>
          <a:ln>
            <a:solidFill>
              <a:srgbClr val="00339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10048876" y="13787438"/>
            <a:ext cx="585788" cy="566737"/>
          </a:xfrm>
          <a:prstGeom prst="ellipse">
            <a:avLst/>
          </a:prstGeom>
          <a:noFill/>
          <a:ln>
            <a:solidFill>
              <a:srgbClr val="00339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/>
        </xdr:nvSpPr>
        <xdr:spPr>
          <a:xfrm>
            <a:off x="10239376" y="13968413"/>
            <a:ext cx="202405" cy="204787"/>
          </a:xfrm>
          <a:prstGeom prst="ellipse">
            <a:avLst/>
          </a:prstGeom>
          <a:noFill/>
          <a:ln>
            <a:solidFill>
              <a:srgbClr val="00339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3266</xdr:colOff>
      <xdr:row>3</xdr:row>
      <xdr:rowOff>44451</xdr:rowOff>
    </xdr:from>
    <xdr:to>
      <xdr:col>36</xdr:col>
      <xdr:colOff>92787</xdr:colOff>
      <xdr:row>5</xdr:row>
      <xdr:rowOff>171451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BE62A2-DB94-4603-9881-54041372B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1116" y="596901"/>
          <a:ext cx="603871" cy="495300"/>
        </a:xfrm>
        <a:prstGeom prst="rect">
          <a:avLst/>
        </a:prstGeom>
      </xdr:spPr>
    </xdr:pic>
    <xdr:clientData/>
  </xdr:twoCellAnchor>
  <xdr:oneCellAnchor>
    <xdr:from>
      <xdr:col>33</xdr:col>
      <xdr:colOff>3266</xdr:colOff>
      <xdr:row>26</xdr:row>
      <xdr:rowOff>44451</xdr:rowOff>
    </xdr:from>
    <xdr:ext cx="603871" cy="495300"/>
    <xdr:pic>
      <xdr:nvPicPr>
        <xdr:cNvPr id="3" name="Imagem 2">
          <a:extLst>
            <a:ext uri="{FF2B5EF4-FFF2-40B4-BE49-F238E27FC236}">
              <a16:creationId xmlns:a16="http://schemas.microsoft.com/office/drawing/2014/main" id="{BCDDAFAF-B611-4037-AA6D-D9E2F4971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066" y="596901"/>
          <a:ext cx="603871" cy="495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8"/>
  <sheetViews>
    <sheetView showGridLines="0" topLeftCell="B1" zoomScale="145" zoomScaleNormal="145" workbookViewId="0">
      <selection activeCell="C37" sqref="C37:AC37"/>
    </sheetView>
  </sheetViews>
  <sheetFormatPr defaultColWidth="9.140625" defaultRowHeight="12.75" x14ac:dyDescent="0.2"/>
  <cols>
    <col min="1" max="1" width="0.7109375" style="1" hidden="1" customWidth="1"/>
    <col min="2" max="2" width="1.140625" style="1" customWidth="1"/>
    <col min="3" max="3" width="1.7109375" style="2" customWidth="1"/>
    <col min="4" max="23" width="1.7109375" style="1" customWidth="1"/>
    <col min="24" max="24" width="3.28515625" style="1" customWidth="1"/>
    <col min="25" max="29" width="1.7109375" style="1" customWidth="1"/>
    <col min="30" max="30" width="1" style="1" customWidth="1"/>
    <col min="31" max="45" width="1.7109375" style="1" customWidth="1"/>
    <col min="46" max="46" width="1.7109375" style="1" hidden="1" customWidth="1"/>
    <col min="47" max="57" width="1.7109375" style="1" customWidth="1"/>
    <col min="58" max="58" width="1.28515625" style="1" customWidth="1"/>
    <col min="59" max="59" width="1.7109375" style="2" customWidth="1"/>
    <col min="60" max="60" width="1.140625" style="1" customWidth="1"/>
    <col min="61" max="68" width="1.7109375" style="1" customWidth="1"/>
    <col min="69" max="16384" width="9.140625" style="1"/>
  </cols>
  <sheetData>
    <row r="1" spans="2:60" ht="6" customHeight="1" x14ac:dyDescent="0.2"/>
    <row r="2" spans="2:60" ht="4.5" customHeight="1" x14ac:dyDescent="0.2">
      <c r="B2" s="21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0"/>
      <c r="BH2" s="21"/>
    </row>
    <row r="3" spans="2:60" ht="13.5" customHeight="1" x14ac:dyDescent="0.2">
      <c r="B3" s="21"/>
      <c r="E3" s="261" t="s">
        <v>139</v>
      </c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  <c r="AV3" s="261"/>
      <c r="AW3" s="261"/>
      <c r="AX3" s="261"/>
      <c r="AY3" s="261"/>
      <c r="AZ3" s="261"/>
      <c r="BA3" s="261"/>
      <c r="BB3" s="261"/>
      <c r="BC3" s="261"/>
      <c r="BD3" s="261"/>
      <c r="BE3" s="261"/>
      <c r="BH3" s="21"/>
    </row>
    <row r="4" spans="2:60" x14ac:dyDescent="0.2">
      <c r="B4" s="21"/>
      <c r="I4" s="262" t="s">
        <v>114</v>
      </c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H4" s="21"/>
    </row>
    <row r="5" spans="2:60" ht="8.25" customHeight="1" x14ac:dyDescent="0.2">
      <c r="B5" s="21"/>
      <c r="BH5" s="21"/>
    </row>
    <row r="6" spans="2:60" s="3" customFormat="1" ht="13.5" customHeight="1" x14ac:dyDescent="0.25">
      <c r="B6" s="22"/>
      <c r="C6" s="4"/>
      <c r="G6" s="3" t="s">
        <v>6</v>
      </c>
      <c r="K6" s="263" t="s">
        <v>141</v>
      </c>
      <c r="L6" s="264"/>
      <c r="M6" s="264"/>
      <c r="N6" s="264"/>
      <c r="O6" s="264"/>
      <c r="P6" s="264"/>
      <c r="Q6" s="264"/>
      <c r="R6" s="264"/>
      <c r="S6" s="265"/>
      <c r="T6" s="15"/>
      <c r="AJ6" s="3" t="s">
        <v>7</v>
      </c>
      <c r="AR6" s="266"/>
      <c r="AS6" s="267"/>
      <c r="AT6" s="267"/>
      <c r="AU6" s="268"/>
      <c r="AV6" s="267"/>
      <c r="AW6" s="267"/>
      <c r="AX6" s="267"/>
      <c r="AY6" s="269"/>
      <c r="BG6" s="4"/>
      <c r="BH6" s="22"/>
    </row>
    <row r="7" spans="2:60" ht="4.5" customHeight="1" x14ac:dyDescent="0.2">
      <c r="B7" s="21"/>
      <c r="AU7" s="14"/>
      <c r="BH7" s="21"/>
    </row>
    <row r="8" spans="2:60" x14ac:dyDescent="0.2">
      <c r="B8" s="21"/>
      <c r="G8" s="139" t="s">
        <v>115</v>
      </c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H8" s="21"/>
    </row>
    <row r="9" spans="2:60" ht="3.75" customHeight="1" x14ac:dyDescent="0.2">
      <c r="B9" s="21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H9" s="21"/>
    </row>
    <row r="10" spans="2:60" x14ac:dyDescent="0.2">
      <c r="B10" s="21"/>
      <c r="C10" s="250" t="s">
        <v>4</v>
      </c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BH10" s="21"/>
    </row>
    <row r="11" spans="2:60" ht="4.5" customHeight="1" x14ac:dyDescent="0.2">
      <c r="B11" s="21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0"/>
      <c r="BH11" s="21"/>
    </row>
    <row r="12" spans="2:60" x14ac:dyDescent="0.2">
      <c r="B12" s="21"/>
      <c r="C12" s="129" t="s">
        <v>0</v>
      </c>
      <c r="D12" s="129"/>
      <c r="E12" s="129"/>
      <c r="F12" s="129"/>
      <c r="G12" s="257"/>
      <c r="H12" s="257"/>
      <c r="I12" s="257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139"/>
      <c r="AQ12" s="139"/>
      <c r="AR12" s="139"/>
      <c r="AS12" s="139"/>
      <c r="AT12" s="139"/>
      <c r="AU12" s="139"/>
      <c r="AV12" s="139"/>
      <c r="AX12" s="2" t="s">
        <v>8</v>
      </c>
      <c r="BB12" s="259"/>
      <c r="BC12" s="259"/>
      <c r="BD12" s="259"/>
      <c r="BE12" s="259"/>
      <c r="BF12" s="259"/>
      <c r="BH12" s="21"/>
    </row>
    <row r="13" spans="2:60" x14ac:dyDescent="0.2">
      <c r="B13" s="21"/>
      <c r="C13" s="129" t="s">
        <v>1</v>
      </c>
      <c r="D13" s="129"/>
      <c r="E13" s="129"/>
      <c r="F13" s="129"/>
      <c r="G13" s="129"/>
      <c r="H13" s="129"/>
      <c r="I13" s="12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249"/>
      <c r="AK13" s="249"/>
      <c r="AL13" s="249"/>
      <c r="AM13" s="249"/>
      <c r="AN13" s="249"/>
      <c r="AO13" s="249"/>
      <c r="AP13" s="129" t="s">
        <v>5</v>
      </c>
      <c r="AQ13" s="129"/>
      <c r="AR13" s="129"/>
      <c r="AS13" s="129"/>
      <c r="AT13" s="129"/>
      <c r="AU13" s="129"/>
      <c r="AV13" s="129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H13" s="21"/>
    </row>
    <row r="14" spans="2:60" x14ac:dyDescent="0.2">
      <c r="B14" s="21"/>
      <c r="C14" s="129" t="s">
        <v>2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8"/>
      <c r="AF14" s="248"/>
      <c r="AG14" s="248"/>
      <c r="AH14" s="248"/>
      <c r="AI14" s="248"/>
      <c r="AJ14" s="248"/>
      <c r="AK14" s="248"/>
      <c r="AL14" s="248"/>
      <c r="AM14" s="248"/>
      <c r="AN14" s="248"/>
      <c r="AO14" s="248"/>
      <c r="AP14" s="129" t="s">
        <v>123</v>
      </c>
      <c r="AQ14" s="129"/>
      <c r="AR14" s="129"/>
      <c r="AS14" s="129"/>
      <c r="AT14" s="129"/>
      <c r="AU14" s="129"/>
      <c r="AV14" s="129"/>
      <c r="AW14" s="129"/>
      <c r="AX14" s="129"/>
      <c r="AY14" s="249"/>
      <c r="AZ14" s="249"/>
      <c r="BA14" s="249"/>
      <c r="BB14" s="249"/>
      <c r="BC14" s="249"/>
      <c r="BD14" s="249"/>
      <c r="BE14" s="249"/>
      <c r="BF14" s="249"/>
      <c r="BH14" s="21"/>
    </row>
    <row r="15" spans="2:60" x14ac:dyDescent="0.2">
      <c r="B15" s="21"/>
      <c r="C15" s="129" t="s">
        <v>3</v>
      </c>
      <c r="D15" s="129"/>
      <c r="E15" s="129"/>
      <c r="F15" s="129"/>
      <c r="G15" s="129"/>
      <c r="H15" s="129"/>
      <c r="I15" s="129"/>
      <c r="J15" s="253"/>
      <c r="K15" s="130"/>
      <c r="L15" s="130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Z15" s="254" t="s">
        <v>121</v>
      </c>
      <c r="AA15" s="254"/>
      <c r="AB15" s="254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129" t="s">
        <v>122</v>
      </c>
      <c r="AQ15" s="129"/>
      <c r="AR15" s="129"/>
      <c r="AS15" s="129"/>
      <c r="AT15" s="129"/>
      <c r="AU15" s="129"/>
      <c r="AV15" s="129"/>
      <c r="AW15" s="129"/>
      <c r="AX15" s="129"/>
      <c r="AY15" s="256"/>
      <c r="AZ15" s="256"/>
      <c r="BA15" s="256"/>
      <c r="BB15" s="256"/>
      <c r="BC15" s="256"/>
      <c r="BD15" s="256"/>
      <c r="BE15" s="256"/>
      <c r="BF15" s="256"/>
      <c r="BH15" s="21"/>
    </row>
    <row r="16" spans="2:60" ht="5.25" customHeight="1" x14ac:dyDescent="0.2">
      <c r="B16" s="21"/>
      <c r="J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BH16" s="21"/>
    </row>
    <row r="17" spans="2:60" x14ac:dyDescent="0.2">
      <c r="B17" s="21"/>
      <c r="C17" s="250" t="s">
        <v>9</v>
      </c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AQ17" s="172" t="s">
        <v>140</v>
      </c>
      <c r="AR17" s="172"/>
      <c r="AS17" s="172"/>
      <c r="AU17" s="251" t="s">
        <v>21</v>
      </c>
      <c r="AV17" s="252"/>
      <c r="AX17" s="251" t="s">
        <v>20</v>
      </c>
      <c r="AY17" s="252"/>
      <c r="BH17" s="21"/>
    </row>
    <row r="18" spans="2:60" x14ac:dyDescent="0.2">
      <c r="B18" s="21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0"/>
      <c r="BH18" s="21"/>
    </row>
    <row r="19" spans="2:60" x14ac:dyDescent="0.2">
      <c r="B19" s="21"/>
      <c r="C19" s="129" t="s">
        <v>10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8"/>
      <c r="BB19" s="248"/>
      <c r="BC19" s="248"/>
      <c r="BD19" s="248"/>
      <c r="BE19" s="248"/>
      <c r="BF19" s="248"/>
      <c r="BH19" s="21"/>
    </row>
    <row r="20" spans="2:60" x14ac:dyDescent="0.2">
      <c r="B20" s="21"/>
      <c r="C20" s="129" t="s">
        <v>11</v>
      </c>
      <c r="D20" s="129"/>
      <c r="E20" s="129"/>
      <c r="F20" s="129"/>
      <c r="G20" s="129"/>
      <c r="H20" s="129"/>
      <c r="I20" s="129"/>
      <c r="J20" s="129"/>
      <c r="K20" s="129"/>
      <c r="L20" s="129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  <c r="BD20" s="248"/>
      <c r="BE20" s="248"/>
      <c r="BF20" s="248"/>
      <c r="BH20" s="21"/>
    </row>
    <row r="21" spans="2:60" x14ac:dyDescent="0.2">
      <c r="B21" s="21"/>
      <c r="C21" s="129" t="s">
        <v>12</v>
      </c>
      <c r="D21" s="129"/>
      <c r="E21" s="129"/>
      <c r="F21" s="129"/>
      <c r="G21" s="129"/>
      <c r="H21" s="129"/>
      <c r="I21" s="129"/>
      <c r="J21" s="129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  <c r="BD21" s="248"/>
      <c r="BE21" s="248"/>
      <c r="BF21" s="248"/>
      <c r="BH21" s="21"/>
    </row>
    <row r="22" spans="2:60" x14ac:dyDescent="0.2">
      <c r="B22" s="21"/>
      <c r="C22" s="129" t="s">
        <v>13</v>
      </c>
      <c r="D22" s="129"/>
      <c r="E22" s="129"/>
      <c r="F22" s="129"/>
      <c r="G22" s="129"/>
      <c r="H22" s="129"/>
      <c r="I22" s="129"/>
      <c r="J22" s="129"/>
      <c r="K22" s="12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H22" s="21"/>
    </row>
    <row r="23" spans="2:60" x14ac:dyDescent="0.2">
      <c r="B23" s="21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H23" s="21"/>
    </row>
    <row r="24" spans="2:60" x14ac:dyDescent="0.2">
      <c r="B24" s="21"/>
      <c r="C24" s="129" t="s">
        <v>14</v>
      </c>
      <c r="D24" s="129"/>
      <c r="E24" s="129"/>
      <c r="F24" s="129"/>
      <c r="G24" s="129"/>
      <c r="H24" s="129"/>
      <c r="I24" s="129"/>
      <c r="J24" s="129"/>
      <c r="K24" s="129"/>
      <c r="L24" s="241" t="s">
        <v>15</v>
      </c>
      <c r="M24" s="242"/>
      <c r="N24" s="243"/>
      <c r="O24" s="16"/>
      <c r="P24" s="244" t="s">
        <v>16</v>
      </c>
      <c r="Q24" s="245"/>
      <c r="R24" s="245"/>
      <c r="S24" s="245"/>
      <c r="T24" s="246"/>
      <c r="V24" s="244" t="s">
        <v>17</v>
      </c>
      <c r="W24" s="245"/>
      <c r="X24" s="246"/>
      <c r="Y24" s="16"/>
      <c r="Z24" s="244" t="s">
        <v>18</v>
      </c>
      <c r="AA24" s="245"/>
      <c r="AB24" s="245"/>
      <c r="AC24" s="246"/>
      <c r="AD24" s="16"/>
      <c r="AF24" s="244" t="s">
        <v>19</v>
      </c>
      <c r="AG24" s="245"/>
      <c r="AH24" s="245"/>
      <c r="AI24" s="245"/>
      <c r="AJ24" s="245"/>
      <c r="AK24" s="245"/>
      <c r="AL24" s="245"/>
      <c r="AM24" s="245"/>
      <c r="AN24" s="245"/>
      <c r="AO24" s="16"/>
      <c r="AP24" s="139" t="s">
        <v>78</v>
      </c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247"/>
      <c r="BB24" s="247"/>
      <c r="BC24" s="247"/>
      <c r="BD24" s="247"/>
      <c r="BE24" s="247"/>
      <c r="BF24" s="247"/>
      <c r="BH24" s="21"/>
    </row>
    <row r="25" spans="2:60" x14ac:dyDescent="0.2">
      <c r="B25" s="21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H25" s="21"/>
    </row>
    <row r="26" spans="2:60" ht="13.5" thickBot="1" x14ac:dyDescent="0.25">
      <c r="B26" s="2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0"/>
      <c r="BH26" s="21"/>
    </row>
    <row r="27" spans="2:60" x14ac:dyDescent="0.2">
      <c r="B27" s="21"/>
      <c r="C27" s="220" t="s">
        <v>30</v>
      </c>
      <c r="D27" s="97"/>
      <c r="E27" s="97"/>
      <c r="F27" s="97"/>
      <c r="G27" s="97"/>
      <c r="H27" s="97" t="s">
        <v>25</v>
      </c>
      <c r="I27" s="97"/>
      <c r="J27" s="97"/>
      <c r="K27" s="97"/>
      <c r="L27" s="97"/>
      <c r="M27" s="97"/>
      <c r="N27" s="97" t="s">
        <v>26</v>
      </c>
      <c r="O27" s="97"/>
      <c r="P27" s="97"/>
      <c r="Q27" s="97"/>
      <c r="R27" s="97"/>
      <c r="S27" s="97"/>
      <c r="T27" s="97" t="s">
        <v>27</v>
      </c>
      <c r="U27" s="97"/>
      <c r="V27" s="97"/>
      <c r="W27" s="97"/>
      <c r="X27" s="155"/>
      <c r="Y27" s="97" t="s">
        <v>28</v>
      </c>
      <c r="Z27" s="97"/>
      <c r="AA27" s="97"/>
      <c r="AB27" s="97"/>
      <c r="AC27" s="97"/>
      <c r="AD27" s="20"/>
      <c r="AE27" s="221"/>
      <c r="AF27" s="222"/>
      <c r="AG27" s="222"/>
      <c r="AH27" s="225" t="s">
        <v>31</v>
      </c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 t="s">
        <v>35</v>
      </c>
      <c r="AX27" s="225"/>
      <c r="AY27" s="225"/>
      <c r="AZ27" s="225"/>
      <c r="BA27" s="225"/>
      <c r="BB27" s="225"/>
      <c r="BC27" s="225"/>
      <c r="BD27" s="225"/>
      <c r="BE27" s="225"/>
      <c r="BF27" s="226"/>
      <c r="BG27" s="192" t="s">
        <v>36</v>
      </c>
      <c r="BH27" s="21"/>
    </row>
    <row r="28" spans="2:60" x14ac:dyDescent="0.2">
      <c r="B28" s="21"/>
      <c r="C28" s="220"/>
      <c r="D28" s="97" t="s">
        <v>21</v>
      </c>
      <c r="E28" s="97"/>
      <c r="F28" s="97"/>
      <c r="G28" s="97"/>
      <c r="H28" s="193"/>
      <c r="I28" s="194"/>
      <c r="J28" s="194"/>
      <c r="K28" s="194"/>
      <c r="L28" s="194"/>
      <c r="M28" s="195"/>
      <c r="N28" s="196"/>
      <c r="O28" s="197"/>
      <c r="P28" s="197"/>
      <c r="Q28" s="197"/>
      <c r="R28" s="197"/>
      <c r="S28" s="198"/>
      <c r="T28" s="196"/>
      <c r="U28" s="197"/>
      <c r="V28" s="197"/>
      <c r="W28" s="197"/>
      <c r="X28" s="199"/>
      <c r="Y28" s="200"/>
      <c r="Z28" s="200"/>
      <c r="AA28" s="200"/>
      <c r="AB28" s="200"/>
      <c r="AC28" s="200"/>
      <c r="AD28" s="20"/>
      <c r="AE28" s="223"/>
      <c r="AF28" s="224"/>
      <c r="AG28" s="224"/>
      <c r="AH28" s="201" t="s">
        <v>33</v>
      </c>
      <c r="AI28" s="202"/>
      <c r="AJ28" s="202"/>
      <c r="AK28" s="202"/>
      <c r="AL28" s="203"/>
      <c r="AM28" s="204" t="s">
        <v>34</v>
      </c>
      <c r="AN28" s="205"/>
      <c r="AO28" s="205"/>
      <c r="AP28" s="205"/>
      <c r="AQ28" s="205"/>
      <c r="AR28" s="187" t="s">
        <v>37</v>
      </c>
      <c r="AS28" s="187"/>
      <c r="AT28" s="187"/>
      <c r="AU28" s="187"/>
      <c r="AV28" s="187"/>
      <c r="AW28" s="205" t="s">
        <v>38</v>
      </c>
      <c r="AX28" s="205"/>
      <c r="AY28" s="205"/>
      <c r="AZ28" s="205"/>
      <c r="BA28" s="205"/>
      <c r="BB28" s="205" t="s">
        <v>39</v>
      </c>
      <c r="BC28" s="205"/>
      <c r="BD28" s="205"/>
      <c r="BE28" s="205"/>
      <c r="BF28" s="206"/>
      <c r="BG28" s="192"/>
      <c r="BH28" s="21"/>
    </row>
    <row r="29" spans="2:60" x14ac:dyDescent="0.2">
      <c r="B29" s="21"/>
      <c r="C29" s="220"/>
      <c r="D29" s="97" t="s">
        <v>20</v>
      </c>
      <c r="E29" s="97"/>
      <c r="F29" s="97"/>
      <c r="G29" s="97"/>
      <c r="H29" s="193"/>
      <c r="I29" s="194"/>
      <c r="J29" s="194"/>
      <c r="K29" s="194"/>
      <c r="L29" s="194"/>
      <c r="M29" s="195"/>
      <c r="N29" s="207"/>
      <c r="O29" s="194"/>
      <c r="P29" s="194"/>
      <c r="Q29" s="194"/>
      <c r="R29" s="194"/>
      <c r="S29" s="208"/>
      <c r="T29" s="193"/>
      <c r="U29" s="194"/>
      <c r="V29" s="194"/>
      <c r="W29" s="194"/>
      <c r="X29" s="208"/>
      <c r="Y29" s="200"/>
      <c r="Z29" s="200"/>
      <c r="AA29" s="200"/>
      <c r="AB29" s="200"/>
      <c r="AC29" s="200"/>
      <c r="AD29" s="20"/>
      <c r="AE29" s="209" t="s">
        <v>21</v>
      </c>
      <c r="AF29" s="97"/>
      <c r="AG29" s="97"/>
      <c r="AH29" s="210"/>
      <c r="AI29" s="211"/>
      <c r="AJ29" s="211"/>
      <c r="AK29" s="211"/>
      <c r="AL29" s="211"/>
      <c r="AM29" s="212"/>
      <c r="AN29" s="212"/>
      <c r="AO29" s="212"/>
      <c r="AP29" s="212"/>
      <c r="AQ29" s="212"/>
      <c r="AR29" s="163"/>
      <c r="AS29" s="163"/>
      <c r="AT29" s="163"/>
      <c r="AU29" s="163"/>
      <c r="AV29" s="163"/>
      <c r="AW29" s="212"/>
      <c r="AX29" s="212"/>
      <c r="AY29" s="212"/>
      <c r="AZ29" s="212"/>
      <c r="BA29" s="212"/>
      <c r="BB29" s="212"/>
      <c r="BC29" s="212"/>
      <c r="BD29" s="212"/>
      <c r="BE29" s="212"/>
      <c r="BF29" s="234"/>
      <c r="BG29" s="192"/>
      <c r="BH29" s="21"/>
    </row>
    <row r="30" spans="2:60" ht="13.5" thickBot="1" x14ac:dyDescent="0.25">
      <c r="B30" s="21"/>
      <c r="C30" s="220"/>
      <c r="D30" s="97" t="s">
        <v>22</v>
      </c>
      <c r="E30" s="97"/>
      <c r="F30" s="97"/>
      <c r="G30" s="97"/>
      <c r="H30" s="193"/>
      <c r="I30" s="194"/>
      <c r="J30" s="194"/>
      <c r="K30" s="194"/>
      <c r="L30" s="194"/>
      <c r="M30" s="195"/>
      <c r="N30" s="235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00"/>
      <c r="Z30" s="200"/>
      <c r="AA30" s="200"/>
      <c r="AB30" s="200"/>
      <c r="AC30" s="200"/>
      <c r="AD30" s="20"/>
      <c r="AE30" s="237" t="s">
        <v>20</v>
      </c>
      <c r="AF30" s="238"/>
      <c r="AG30" s="238"/>
      <c r="AH30" s="239"/>
      <c r="AI30" s="213"/>
      <c r="AJ30" s="213"/>
      <c r="AK30" s="213"/>
      <c r="AL30" s="213"/>
      <c r="AM30" s="213"/>
      <c r="AN30" s="213"/>
      <c r="AO30" s="213"/>
      <c r="AP30" s="213"/>
      <c r="AQ30" s="213"/>
      <c r="AR30" s="240"/>
      <c r="AS30" s="240"/>
      <c r="AT30" s="240"/>
      <c r="AU30" s="240"/>
      <c r="AV30" s="240"/>
      <c r="AW30" s="213"/>
      <c r="AX30" s="213"/>
      <c r="AY30" s="213"/>
      <c r="AZ30" s="213"/>
      <c r="BA30" s="213"/>
      <c r="BB30" s="213"/>
      <c r="BC30" s="213"/>
      <c r="BD30" s="213"/>
      <c r="BE30" s="213"/>
      <c r="BF30" s="214"/>
      <c r="BG30" s="192"/>
      <c r="BH30" s="21"/>
    </row>
    <row r="31" spans="2:60" x14ac:dyDescent="0.2">
      <c r="B31" s="21"/>
      <c r="C31" s="220"/>
      <c r="D31" s="215" t="s">
        <v>23</v>
      </c>
      <c r="E31" s="215"/>
      <c r="F31" s="215"/>
      <c r="G31" s="215"/>
      <c r="H31" s="216"/>
      <c r="I31" s="216"/>
      <c r="J31" s="216"/>
      <c r="K31" s="217"/>
      <c r="L31" s="218"/>
      <c r="M31" s="218"/>
      <c r="N31" s="218"/>
      <c r="O31" s="218"/>
      <c r="P31" s="218"/>
      <c r="Q31" s="218"/>
      <c r="R31" s="218"/>
      <c r="S31" s="219"/>
      <c r="T31" s="227" t="s">
        <v>29</v>
      </c>
      <c r="U31" s="228"/>
      <c r="V31" s="229"/>
      <c r="W31" s="185"/>
      <c r="X31" s="185"/>
      <c r="Y31" s="185"/>
      <c r="Z31" s="185"/>
      <c r="AA31" s="185"/>
      <c r="AB31" s="185"/>
      <c r="AC31" s="185"/>
      <c r="AD31" s="20"/>
      <c r="AE31" s="230" t="s">
        <v>32</v>
      </c>
      <c r="AF31" s="230"/>
      <c r="AG31" s="230"/>
      <c r="AH31" s="230"/>
      <c r="AI31" s="230"/>
      <c r="AJ31" s="230"/>
      <c r="AK31" s="231"/>
      <c r="AL31" s="232"/>
      <c r="AM31" s="232"/>
      <c r="AN31" s="232"/>
      <c r="AO31" s="232"/>
      <c r="AP31" s="232"/>
      <c r="AQ31" s="232"/>
      <c r="AR31" s="232"/>
      <c r="AS31" s="232"/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3"/>
      <c r="BG31" s="90"/>
      <c r="BH31" s="21"/>
    </row>
    <row r="32" spans="2:60" x14ac:dyDescent="0.2">
      <c r="B32" s="21"/>
      <c r="C32" s="220"/>
      <c r="D32" s="97" t="s">
        <v>24</v>
      </c>
      <c r="E32" s="97"/>
      <c r="F32" s="97"/>
      <c r="G32" s="97"/>
      <c r="H32" s="173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5"/>
      <c r="T32" s="179" t="s">
        <v>40</v>
      </c>
      <c r="U32" s="180"/>
      <c r="V32" s="181"/>
      <c r="W32" s="185"/>
      <c r="X32" s="185"/>
      <c r="Y32" s="185"/>
      <c r="Z32" s="185"/>
      <c r="AA32" s="185"/>
      <c r="AB32" s="185"/>
      <c r="AC32" s="185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1"/>
      <c r="BG32" s="32"/>
      <c r="BH32" s="31"/>
    </row>
    <row r="33" spans="2:60" x14ac:dyDescent="0.2">
      <c r="B33" s="21"/>
      <c r="C33" s="220"/>
      <c r="D33" s="97"/>
      <c r="E33" s="97"/>
      <c r="F33" s="97"/>
      <c r="G33" s="97"/>
      <c r="H33" s="176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8"/>
      <c r="T33" s="182"/>
      <c r="U33" s="183"/>
      <c r="V33" s="184"/>
      <c r="W33" s="185"/>
      <c r="X33" s="185"/>
      <c r="Y33" s="185"/>
      <c r="Z33" s="185"/>
      <c r="AA33" s="185"/>
      <c r="AB33" s="185"/>
      <c r="AC33" s="185"/>
      <c r="AD33" s="21"/>
      <c r="AE33" s="186"/>
      <c r="AF33" s="187"/>
      <c r="AG33" s="188"/>
      <c r="AH33" s="97" t="s">
        <v>41</v>
      </c>
      <c r="AI33" s="97"/>
      <c r="AJ33" s="97"/>
      <c r="AK33" s="97"/>
      <c r="AL33" s="97"/>
      <c r="AM33" s="97"/>
      <c r="AN33" s="97"/>
      <c r="AO33" s="97"/>
      <c r="AP33" s="97" t="s">
        <v>42</v>
      </c>
      <c r="AQ33" s="97"/>
      <c r="AR33" s="97"/>
      <c r="AS33" s="97"/>
      <c r="AT33" s="97"/>
      <c r="AU33" s="97"/>
      <c r="AV33" s="97"/>
      <c r="AW33" s="97"/>
      <c r="AX33" s="97" t="s">
        <v>43</v>
      </c>
      <c r="AY33" s="97"/>
      <c r="AZ33" s="97"/>
      <c r="BA33" s="97"/>
      <c r="BB33" s="97"/>
      <c r="BC33" s="97"/>
      <c r="BD33" s="97"/>
      <c r="BE33" s="97"/>
      <c r="BF33" s="97"/>
      <c r="BG33" s="90" t="s">
        <v>44</v>
      </c>
      <c r="BH33" s="32"/>
    </row>
    <row r="34" spans="2:60" x14ac:dyDescent="0.2">
      <c r="B34" s="21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189"/>
      <c r="AF34" s="190"/>
      <c r="AG34" s="191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0"/>
      <c r="BH34" s="31"/>
    </row>
    <row r="35" spans="2:60" x14ac:dyDescent="0.2">
      <c r="B35" s="21"/>
      <c r="C35" s="139"/>
      <c r="D35" s="139"/>
      <c r="E35" s="139"/>
      <c r="F35" s="139"/>
      <c r="G35" s="139"/>
      <c r="H35" s="139"/>
      <c r="I35" s="171" t="s">
        <v>69</v>
      </c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2"/>
      <c r="Y35" s="172"/>
      <c r="Z35" s="172"/>
      <c r="AA35" s="172"/>
      <c r="AB35" s="172"/>
      <c r="AC35" s="172"/>
      <c r="AD35" s="21"/>
      <c r="AE35" s="97" t="s">
        <v>21</v>
      </c>
      <c r="AF35" s="97"/>
      <c r="AG35" s="155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0"/>
      <c r="BH35" s="31"/>
    </row>
    <row r="36" spans="2:60" x14ac:dyDescent="0.2">
      <c r="B36" s="21"/>
      <c r="C36" s="165" t="s">
        <v>21</v>
      </c>
      <c r="D36" s="166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21"/>
      <c r="AE36" s="97" t="s">
        <v>20</v>
      </c>
      <c r="AF36" s="97"/>
      <c r="AG36" s="155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0"/>
      <c r="BH36" s="31"/>
    </row>
    <row r="37" spans="2:60" x14ac:dyDescent="0.2">
      <c r="B37" s="21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2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3"/>
      <c r="BH37" s="31"/>
    </row>
    <row r="38" spans="2:60" x14ac:dyDescent="0.2">
      <c r="B38" s="21"/>
      <c r="C38" s="129" t="s">
        <v>73</v>
      </c>
      <c r="D38" s="129"/>
      <c r="E38" s="129"/>
      <c r="F38" s="129"/>
      <c r="G38" s="129"/>
      <c r="H38" s="129"/>
      <c r="I38" s="129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21"/>
      <c r="AE38" s="170" t="s">
        <v>45</v>
      </c>
      <c r="AF38" s="97" t="s">
        <v>21</v>
      </c>
      <c r="AG38" s="97"/>
      <c r="AH38" s="97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70" t="s">
        <v>46</v>
      </c>
      <c r="BH38" s="21"/>
    </row>
    <row r="39" spans="2:60" x14ac:dyDescent="0.2">
      <c r="B39" s="21"/>
      <c r="C39" s="129" t="s">
        <v>72</v>
      </c>
      <c r="D39" s="129"/>
      <c r="E39" s="129"/>
      <c r="F39" s="129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21"/>
      <c r="AE39" s="170"/>
      <c r="AF39" s="97" t="s">
        <v>20</v>
      </c>
      <c r="AG39" s="97"/>
      <c r="AH39" s="97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70"/>
      <c r="BH39" s="21"/>
    </row>
    <row r="40" spans="2:60" x14ac:dyDescent="0.2">
      <c r="B40" s="21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21"/>
      <c r="AE40" s="34"/>
      <c r="AF40" s="35"/>
      <c r="AG40" s="35"/>
      <c r="AH40" s="35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7"/>
      <c r="BH40" s="21"/>
    </row>
    <row r="41" spans="2:60" x14ac:dyDescent="0.2">
      <c r="B41" s="21"/>
      <c r="C41" s="129" t="s">
        <v>71</v>
      </c>
      <c r="D41" s="129"/>
      <c r="E41" s="129"/>
      <c r="F41" s="129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21"/>
      <c r="AE41" s="97" t="s">
        <v>21</v>
      </c>
      <c r="AF41" s="97"/>
      <c r="AG41" s="9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90" t="s">
        <v>47</v>
      </c>
      <c r="BH41" s="21"/>
    </row>
    <row r="42" spans="2:60" x14ac:dyDescent="0.2">
      <c r="B42" s="21"/>
      <c r="C42" s="129" t="s">
        <v>70</v>
      </c>
      <c r="D42" s="129"/>
      <c r="E42" s="129"/>
      <c r="F42" s="129"/>
      <c r="G42" s="129"/>
      <c r="H42" s="129"/>
      <c r="I42" s="129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21"/>
      <c r="AE42" s="97" t="s">
        <v>20</v>
      </c>
      <c r="AF42" s="97"/>
      <c r="AG42" s="9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90"/>
      <c r="BH42" s="21"/>
    </row>
    <row r="43" spans="2:60" x14ac:dyDescent="0.2">
      <c r="B43" s="21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9"/>
      <c r="BH43" s="21"/>
    </row>
    <row r="44" spans="2:60" x14ac:dyDescent="0.2">
      <c r="B44" s="21"/>
      <c r="C44" s="129" t="s">
        <v>77</v>
      </c>
      <c r="D44" s="129"/>
      <c r="E44" s="129"/>
      <c r="F44" s="129"/>
      <c r="G44" s="129"/>
      <c r="H44" s="129"/>
      <c r="I44" s="129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21"/>
      <c r="AE44" s="97" t="s">
        <v>21</v>
      </c>
      <c r="AF44" s="97"/>
      <c r="AG44" s="97"/>
      <c r="AJ44" s="7"/>
      <c r="AM44" s="7"/>
      <c r="AW44" s="7"/>
      <c r="AZ44" s="7"/>
      <c r="BD44" s="97" t="s">
        <v>20</v>
      </c>
      <c r="BE44" s="97"/>
      <c r="BF44" s="97"/>
      <c r="BG44" s="90" t="s">
        <v>48</v>
      </c>
      <c r="BH44" s="21"/>
    </row>
    <row r="45" spans="2:60" x14ac:dyDescent="0.2">
      <c r="B45" s="21"/>
      <c r="C45" s="129" t="s">
        <v>74</v>
      </c>
      <c r="D45" s="129"/>
      <c r="E45" s="129"/>
      <c r="F45" s="129"/>
      <c r="G45" s="129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21"/>
      <c r="AH45" s="8"/>
      <c r="AI45" s="10"/>
      <c r="AJ45" s="11"/>
      <c r="AK45" s="10"/>
      <c r="AL45" s="10"/>
      <c r="AM45" s="11"/>
      <c r="AN45" s="10"/>
      <c r="AO45" s="10"/>
      <c r="AP45" s="8"/>
      <c r="AU45" s="8"/>
      <c r="AV45" s="10"/>
      <c r="AW45" s="11"/>
      <c r="AX45" s="10"/>
      <c r="AY45" s="10"/>
      <c r="AZ45" s="11"/>
      <c r="BA45" s="10"/>
      <c r="BB45" s="10"/>
      <c r="BC45" s="8"/>
      <c r="BG45" s="90"/>
      <c r="BH45" s="21"/>
    </row>
    <row r="46" spans="2:60" x14ac:dyDescent="0.2">
      <c r="B46" s="21"/>
      <c r="C46" s="129" t="s">
        <v>75</v>
      </c>
      <c r="D46" s="129"/>
      <c r="E46" s="129"/>
      <c r="F46" s="129"/>
      <c r="G46" s="129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21"/>
      <c r="AJ46" s="9"/>
      <c r="AM46" s="9"/>
      <c r="AW46" s="9"/>
      <c r="AZ46" s="9"/>
      <c r="BG46" s="90"/>
      <c r="BH46" s="21"/>
    </row>
    <row r="47" spans="2:60" x14ac:dyDescent="0.2">
      <c r="B47" s="21"/>
      <c r="C47" s="129" t="s">
        <v>76</v>
      </c>
      <c r="D47" s="129"/>
      <c r="E47" s="129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21"/>
      <c r="AE47" s="129" t="s">
        <v>49</v>
      </c>
      <c r="AF47" s="129"/>
      <c r="AG47" s="129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90"/>
      <c r="BH47" s="21"/>
    </row>
    <row r="48" spans="2:60" x14ac:dyDescent="0.2">
      <c r="B48" s="21"/>
      <c r="C48" s="165" t="s">
        <v>20</v>
      </c>
      <c r="D48" s="166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90"/>
      <c r="BH48" s="21"/>
    </row>
    <row r="49" spans="2:60" x14ac:dyDescent="0.2">
      <c r="B49" s="21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9"/>
      <c r="BH49" s="21"/>
    </row>
    <row r="50" spans="2:60" x14ac:dyDescent="0.2">
      <c r="B50" s="21"/>
      <c r="C50" s="129" t="s">
        <v>73</v>
      </c>
      <c r="D50" s="129"/>
      <c r="E50" s="129"/>
      <c r="F50" s="129"/>
      <c r="G50" s="129"/>
      <c r="H50" s="129"/>
      <c r="I50" s="129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21"/>
      <c r="AE50" s="97" t="s">
        <v>50</v>
      </c>
      <c r="AF50" s="97"/>
      <c r="AG50" s="97"/>
      <c r="AH50" s="97"/>
      <c r="AI50" s="97"/>
      <c r="AJ50" s="97"/>
      <c r="AK50" s="97"/>
      <c r="AL50" s="97"/>
      <c r="AM50" s="97"/>
      <c r="AN50" s="164" t="s">
        <v>51</v>
      </c>
      <c r="AO50" s="164"/>
      <c r="AP50" s="164"/>
      <c r="AQ50" s="164"/>
      <c r="AR50" s="164"/>
      <c r="AS50" s="164"/>
      <c r="AT50" s="164"/>
      <c r="AU50" s="164"/>
      <c r="AV50" s="164"/>
      <c r="AW50" s="164" t="s">
        <v>24</v>
      </c>
      <c r="AX50" s="164"/>
      <c r="AY50" s="164"/>
      <c r="AZ50" s="164"/>
      <c r="BA50" s="164"/>
      <c r="BB50" s="164"/>
      <c r="BC50" s="164"/>
      <c r="BD50" s="164"/>
      <c r="BE50" s="164"/>
      <c r="BF50" s="164"/>
      <c r="BG50" s="90" t="s">
        <v>52</v>
      </c>
      <c r="BH50" s="21"/>
    </row>
    <row r="51" spans="2:60" x14ac:dyDescent="0.2">
      <c r="B51" s="21"/>
      <c r="C51" s="129" t="s">
        <v>72</v>
      </c>
      <c r="D51" s="129"/>
      <c r="E51" s="129"/>
      <c r="F51" s="129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21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0"/>
      <c r="BH51" s="21"/>
    </row>
    <row r="52" spans="2:60" x14ac:dyDescent="0.2">
      <c r="B52" s="21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21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29"/>
      <c r="BH52" s="21"/>
    </row>
    <row r="53" spans="2:60" s="2" customFormat="1" ht="14.25" x14ac:dyDescent="0.2">
      <c r="B53" s="20"/>
      <c r="C53" s="129" t="s">
        <v>71</v>
      </c>
      <c r="D53" s="129"/>
      <c r="E53" s="129"/>
      <c r="F53" s="129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20"/>
      <c r="AE53" s="97" t="s">
        <v>53</v>
      </c>
      <c r="AF53" s="97"/>
      <c r="AG53" s="97"/>
      <c r="AH53" s="97"/>
      <c r="AI53" s="97"/>
      <c r="AJ53" s="97"/>
      <c r="AK53" s="97" t="s">
        <v>111</v>
      </c>
      <c r="AL53" s="97"/>
      <c r="AM53" s="97"/>
      <c r="AN53" s="97"/>
      <c r="AO53" s="97"/>
      <c r="AP53" s="97"/>
      <c r="AQ53" s="97"/>
      <c r="AR53" s="97"/>
      <c r="AS53" s="97"/>
      <c r="AT53" s="97"/>
      <c r="AU53" s="97" t="s">
        <v>112</v>
      </c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155"/>
      <c r="BG53" s="90" t="s">
        <v>57</v>
      </c>
      <c r="BH53" s="20"/>
    </row>
    <row r="54" spans="2:60" x14ac:dyDescent="0.2">
      <c r="B54" s="21"/>
      <c r="C54" s="129" t="s">
        <v>70</v>
      </c>
      <c r="D54" s="129"/>
      <c r="E54" s="129"/>
      <c r="F54" s="129"/>
      <c r="G54" s="129"/>
      <c r="H54" s="129"/>
      <c r="I54" s="129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21"/>
      <c r="AE54" s="97" t="s">
        <v>54</v>
      </c>
      <c r="AF54" s="97"/>
      <c r="AG54" s="97"/>
      <c r="AH54" s="97"/>
      <c r="AI54" s="97"/>
      <c r="AJ54" s="9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8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60"/>
      <c r="BG54" s="90"/>
      <c r="BH54" s="21"/>
    </row>
    <row r="55" spans="2:60" x14ac:dyDescent="0.2">
      <c r="B55" s="21"/>
      <c r="C55" s="129" t="s">
        <v>77</v>
      </c>
      <c r="D55" s="129"/>
      <c r="E55" s="129"/>
      <c r="F55" s="129"/>
      <c r="G55" s="129"/>
      <c r="H55" s="129"/>
      <c r="I55" s="129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21"/>
      <c r="AE55" s="97" t="s">
        <v>55</v>
      </c>
      <c r="AF55" s="97"/>
      <c r="AG55" s="97"/>
      <c r="AH55" s="97"/>
      <c r="AI55" s="97"/>
      <c r="AJ55" s="97"/>
      <c r="AK55" s="162"/>
      <c r="AL55" s="163"/>
      <c r="AM55" s="163"/>
      <c r="AN55" s="163"/>
      <c r="AO55" s="163"/>
      <c r="AP55" s="163"/>
      <c r="AQ55" s="163"/>
      <c r="AR55" s="163"/>
      <c r="AS55" s="163"/>
      <c r="AT55" s="163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7"/>
      <c r="BG55" s="90"/>
      <c r="BH55" s="21"/>
    </row>
    <row r="56" spans="2:60" x14ac:dyDescent="0.2">
      <c r="B56" s="21"/>
      <c r="C56" s="129" t="s">
        <v>74</v>
      </c>
      <c r="D56" s="129"/>
      <c r="E56" s="129"/>
      <c r="F56" s="129"/>
      <c r="G56" s="129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21"/>
      <c r="AE56" s="97" t="s">
        <v>56</v>
      </c>
      <c r="AF56" s="97"/>
      <c r="AG56" s="97"/>
      <c r="AH56" s="97"/>
      <c r="AI56" s="97"/>
      <c r="AJ56" s="97"/>
      <c r="AK56" s="148"/>
      <c r="AL56" s="149"/>
      <c r="AM56" s="149"/>
      <c r="AN56" s="149"/>
      <c r="AO56" s="149"/>
      <c r="AP56" s="149"/>
      <c r="AQ56" s="149"/>
      <c r="AR56" s="149"/>
      <c r="AS56" s="149"/>
      <c r="AT56" s="149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1"/>
      <c r="BG56" s="90"/>
      <c r="BH56" s="21"/>
    </row>
    <row r="57" spans="2:60" x14ac:dyDescent="0.2">
      <c r="B57" s="21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39"/>
      <c r="BH57" s="21"/>
    </row>
    <row r="58" spans="2:60" x14ac:dyDescent="0.2">
      <c r="B58" s="21"/>
      <c r="C58" s="129" t="s">
        <v>75</v>
      </c>
      <c r="D58" s="129"/>
      <c r="E58" s="129"/>
      <c r="F58" s="129"/>
      <c r="G58" s="129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20"/>
      <c r="AE58" s="105" t="s">
        <v>58</v>
      </c>
      <c r="AF58" s="140" t="s">
        <v>60</v>
      </c>
      <c r="AG58" s="141"/>
      <c r="AH58" s="142"/>
      <c r="AI58" s="143"/>
      <c r="AJ58" s="144"/>
      <c r="AK58" s="144"/>
      <c r="AL58" s="144"/>
      <c r="AM58" s="145"/>
      <c r="AN58" s="40"/>
      <c r="AO58" s="152"/>
      <c r="AP58" s="152"/>
      <c r="AQ58" s="152"/>
      <c r="AR58" s="153"/>
      <c r="AS58" s="86" t="s">
        <v>60</v>
      </c>
      <c r="AT58" s="86"/>
      <c r="AU58" s="86"/>
      <c r="AV58" s="86"/>
      <c r="AW58" s="143"/>
      <c r="AX58" s="144"/>
      <c r="AY58" s="144"/>
      <c r="AZ58" s="144"/>
      <c r="BA58" s="145"/>
      <c r="BB58" s="40"/>
      <c r="BC58" s="152"/>
      <c r="BD58" s="152"/>
      <c r="BE58" s="152"/>
      <c r="BF58" s="153"/>
      <c r="BG58" s="90" t="s">
        <v>59</v>
      </c>
      <c r="BH58" s="21"/>
    </row>
    <row r="59" spans="2:60" x14ac:dyDescent="0.2">
      <c r="B59" s="21"/>
      <c r="C59" s="129" t="s">
        <v>76</v>
      </c>
      <c r="D59" s="129"/>
      <c r="E59" s="129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20"/>
      <c r="AE59" s="106"/>
      <c r="AF59" s="131" t="s">
        <v>61</v>
      </c>
      <c r="AG59" s="132"/>
      <c r="AH59" s="133"/>
      <c r="AI59" s="134"/>
      <c r="AJ59" s="135"/>
      <c r="AK59" s="135"/>
      <c r="AL59" s="135"/>
      <c r="AM59" s="136"/>
      <c r="AN59" s="41"/>
      <c r="AO59" s="137"/>
      <c r="AP59" s="137"/>
      <c r="AQ59" s="137"/>
      <c r="AR59" s="138"/>
      <c r="AS59" s="86" t="s">
        <v>61</v>
      </c>
      <c r="AT59" s="86"/>
      <c r="AU59" s="86"/>
      <c r="AV59" s="86"/>
      <c r="AW59" s="134"/>
      <c r="AX59" s="135"/>
      <c r="AY59" s="135"/>
      <c r="AZ59" s="135"/>
      <c r="BA59" s="136"/>
      <c r="BB59" s="41"/>
      <c r="BC59" s="137"/>
      <c r="BD59" s="137"/>
      <c r="BE59" s="137"/>
      <c r="BF59" s="138"/>
      <c r="BG59" s="90"/>
      <c r="BH59" s="21"/>
    </row>
    <row r="60" spans="2:60" x14ac:dyDescent="0.2">
      <c r="B60" s="21"/>
      <c r="AD60" s="20"/>
      <c r="AE60" s="30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29"/>
      <c r="BH60" s="21"/>
    </row>
    <row r="61" spans="2:60" x14ac:dyDescent="0.2">
      <c r="B61" s="21"/>
      <c r="G61" s="2"/>
      <c r="R61" s="2"/>
      <c r="X61" s="112" t="s">
        <v>82</v>
      </c>
      <c r="Y61" s="112"/>
      <c r="Z61" s="112"/>
      <c r="AA61" s="112"/>
      <c r="AB61" s="112"/>
      <c r="AC61" s="112"/>
      <c r="AD61" s="20"/>
      <c r="AE61" s="105" t="s">
        <v>62</v>
      </c>
      <c r="AF61" s="114" t="s">
        <v>21</v>
      </c>
      <c r="AG61" s="115"/>
      <c r="AH61" s="116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86" t="s">
        <v>21</v>
      </c>
      <c r="AT61" s="86"/>
      <c r="AU61" s="86"/>
      <c r="AV61" s="86"/>
      <c r="AW61" s="117"/>
      <c r="AX61" s="118"/>
      <c r="AY61" s="118"/>
      <c r="AZ61" s="118"/>
      <c r="BA61" s="118"/>
      <c r="BB61" s="40"/>
      <c r="BC61" s="119"/>
      <c r="BD61" s="119"/>
      <c r="BE61" s="119"/>
      <c r="BF61" s="120"/>
      <c r="BG61" s="109" t="s">
        <v>63</v>
      </c>
      <c r="BH61" s="21"/>
    </row>
    <row r="62" spans="2:60" x14ac:dyDescent="0.2">
      <c r="B62" s="21"/>
      <c r="D62" s="121" t="s">
        <v>21</v>
      </c>
      <c r="E62" s="121"/>
      <c r="F62" s="121"/>
      <c r="O62" s="122" t="s">
        <v>20</v>
      </c>
      <c r="P62" s="122"/>
      <c r="X62" s="97" t="s">
        <v>21</v>
      </c>
      <c r="Y62" s="97"/>
      <c r="Z62" s="97"/>
      <c r="AA62" s="97"/>
      <c r="AB62" s="97"/>
      <c r="AC62" s="97"/>
      <c r="AD62" s="20"/>
      <c r="AE62" s="113"/>
      <c r="AF62" s="123" t="s">
        <v>20</v>
      </c>
      <c r="AG62" s="124"/>
      <c r="AH62" s="125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126" t="s">
        <v>20</v>
      </c>
      <c r="AT62" s="126"/>
      <c r="AU62" s="126"/>
      <c r="AV62" s="126"/>
      <c r="AW62" s="127"/>
      <c r="AX62" s="127"/>
      <c r="AY62" s="127"/>
      <c r="AZ62" s="127"/>
      <c r="BA62" s="127"/>
      <c r="BB62" s="13"/>
      <c r="BC62" s="128"/>
      <c r="BD62" s="128"/>
      <c r="BE62" s="128"/>
      <c r="BF62" s="128"/>
      <c r="BG62" s="110"/>
      <c r="BH62" s="21"/>
    </row>
    <row r="63" spans="2:60" x14ac:dyDescent="0.2">
      <c r="B63" s="21"/>
      <c r="X63" s="88" t="s">
        <v>83</v>
      </c>
      <c r="Y63" s="88"/>
      <c r="Z63" s="88"/>
      <c r="AA63" s="88"/>
      <c r="AB63" s="88"/>
      <c r="AC63" s="88"/>
      <c r="AD63" s="20"/>
      <c r="AE63" s="106"/>
      <c r="AF63" s="103" t="s">
        <v>53</v>
      </c>
      <c r="AG63" s="103"/>
      <c r="AH63" s="103"/>
      <c r="AI63" s="103"/>
      <c r="AJ63" s="103"/>
      <c r="AK63" s="103"/>
      <c r="AL63" s="99"/>
      <c r="AM63" s="99"/>
      <c r="AN63" s="99"/>
      <c r="AO63" s="99"/>
      <c r="AP63" s="99"/>
      <c r="AQ63" s="99"/>
      <c r="AR63" s="99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11"/>
      <c r="BH63" s="21"/>
    </row>
    <row r="64" spans="2:60" x14ac:dyDescent="0.2">
      <c r="B64" s="21"/>
      <c r="X64" s="88"/>
      <c r="Y64" s="88"/>
      <c r="Z64" s="88"/>
      <c r="AA64" s="88"/>
      <c r="AB64" s="88"/>
      <c r="AC64" s="88"/>
      <c r="AD64" s="20"/>
      <c r="AE64" s="30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0"/>
      <c r="BH64" s="21"/>
    </row>
    <row r="65" spans="2:69" ht="14.25" customHeight="1" x14ac:dyDescent="0.2">
      <c r="B65" s="21"/>
      <c r="X65" s="89" t="s">
        <v>84</v>
      </c>
      <c r="Y65" s="89"/>
      <c r="Z65" s="89"/>
      <c r="AA65" s="89"/>
      <c r="AB65" s="89"/>
      <c r="AC65" s="89"/>
      <c r="AD65" s="20"/>
      <c r="AE65" s="105" t="s">
        <v>64</v>
      </c>
      <c r="AF65" s="107" t="s">
        <v>21</v>
      </c>
      <c r="AG65" s="107"/>
      <c r="AH65" s="107"/>
      <c r="AI65" s="99"/>
      <c r="AJ65" s="99"/>
      <c r="AK65" s="99"/>
      <c r="AL65" s="99"/>
      <c r="AM65" s="99"/>
      <c r="AN65" s="99"/>
      <c r="AO65" s="99"/>
      <c r="AP65" s="99"/>
      <c r="AQ65" s="100" t="s">
        <v>68</v>
      </c>
      <c r="AR65" s="100"/>
      <c r="AS65" s="101" t="s">
        <v>66</v>
      </c>
      <c r="AT65" s="101"/>
      <c r="AU65" s="101"/>
      <c r="AV65" s="101"/>
      <c r="AW65" s="101"/>
      <c r="AX65" s="101"/>
      <c r="AY65" s="108"/>
      <c r="AZ65" s="108"/>
      <c r="BA65" s="108"/>
      <c r="BB65" s="108"/>
      <c r="BC65" s="108"/>
      <c r="BD65" s="108"/>
      <c r="BE65" s="108"/>
      <c r="BF65" s="108"/>
      <c r="BG65" s="90" t="s">
        <v>65</v>
      </c>
      <c r="BH65" s="21"/>
    </row>
    <row r="66" spans="2:69" ht="14.25" customHeight="1" x14ac:dyDescent="0.2">
      <c r="B66" s="21"/>
      <c r="F66" s="5"/>
      <c r="X66" s="97" t="s">
        <v>20</v>
      </c>
      <c r="Y66" s="97"/>
      <c r="Z66" s="97"/>
      <c r="AA66" s="97"/>
      <c r="AB66" s="97"/>
      <c r="AC66" s="97"/>
      <c r="AD66" s="20"/>
      <c r="AE66" s="106"/>
      <c r="AF66" s="98" t="s">
        <v>20</v>
      </c>
      <c r="AG66" s="98"/>
      <c r="AH66" s="98"/>
      <c r="AI66" s="99"/>
      <c r="AJ66" s="99"/>
      <c r="AK66" s="99"/>
      <c r="AL66" s="99"/>
      <c r="AM66" s="99"/>
      <c r="AN66" s="99"/>
      <c r="AO66" s="99"/>
      <c r="AP66" s="99"/>
      <c r="AQ66" s="100" t="s">
        <v>68</v>
      </c>
      <c r="AR66" s="100"/>
      <c r="AS66" s="101" t="s">
        <v>67</v>
      </c>
      <c r="AT66" s="101"/>
      <c r="AU66" s="101"/>
      <c r="AV66" s="101"/>
      <c r="AW66" s="101"/>
      <c r="AX66" s="101"/>
      <c r="AY66" s="102"/>
      <c r="AZ66" s="102"/>
      <c r="BA66" s="102"/>
      <c r="BB66" s="102"/>
      <c r="BC66" s="102"/>
      <c r="BD66" s="102"/>
      <c r="BE66" s="102"/>
      <c r="BF66" s="102"/>
      <c r="BG66" s="90"/>
      <c r="BH66" s="21"/>
      <c r="BQ66" s="42"/>
    </row>
    <row r="67" spans="2:69" ht="4.5" customHeight="1" x14ac:dyDescent="0.2">
      <c r="B67" s="21"/>
      <c r="X67" s="88" t="s">
        <v>83</v>
      </c>
      <c r="Y67" s="88"/>
      <c r="Z67" s="88"/>
      <c r="AA67" s="88"/>
      <c r="AB67" s="88"/>
      <c r="AC67" s="88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0"/>
      <c r="BH67" s="21"/>
    </row>
    <row r="68" spans="2:69" ht="14.25" customHeight="1" x14ac:dyDescent="0.2">
      <c r="B68" s="21"/>
      <c r="X68" s="88"/>
      <c r="Y68" s="88"/>
      <c r="Z68" s="88"/>
      <c r="AA68" s="88"/>
      <c r="AB68" s="88"/>
      <c r="AC68" s="88"/>
      <c r="AD68" s="21"/>
      <c r="AE68" s="43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5"/>
      <c r="BH68" s="21"/>
    </row>
    <row r="69" spans="2:69" ht="14.25" customHeight="1" x14ac:dyDescent="0.2">
      <c r="B69" s="21"/>
      <c r="X69" s="89" t="s">
        <v>84</v>
      </c>
      <c r="Y69" s="89"/>
      <c r="Z69" s="89"/>
      <c r="AA69" s="89"/>
      <c r="AB69" s="89"/>
      <c r="AC69" s="89"/>
      <c r="AD69" s="21"/>
      <c r="AE69" s="46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8"/>
      <c r="BH69" s="21"/>
    </row>
    <row r="70" spans="2:69" ht="4.5" customHeight="1" x14ac:dyDescent="0.2">
      <c r="B70" s="21"/>
      <c r="C70" s="20"/>
      <c r="D70" s="21"/>
      <c r="E70" s="21"/>
      <c r="F70" s="2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1"/>
      <c r="Z70" s="21"/>
      <c r="AA70" s="21"/>
      <c r="AB70" s="21"/>
      <c r="AC70" s="21"/>
      <c r="AD70" s="21"/>
      <c r="AE70" s="46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8"/>
      <c r="BH70" s="21"/>
    </row>
    <row r="71" spans="2:69" ht="15.75" customHeight="1" x14ac:dyDescent="0.2">
      <c r="B71" s="21"/>
      <c r="C71" s="90" t="s">
        <v>79</v>
      </c>
      <c r="D71" s="91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3"/>
      <c r="P71" s="86" t="s">
        <v>21</v>
      </c>
      <c r="Q71" s="86"/>
      <c r="R71" s="86"/>
      <c r="S71" s="86"/>
      <c r="T71" s="87"/>
      <c r="U71" s="87"/>
      <c r="V71" s="87"/>
      <c r="W71" s="87"/>
      <c r="X71" s="87"/>
      <c r="Y71" s="87"/>
      <c r="Z71" s="87"/>
      <c r="AA71" s="87"/>
      <c r="AB71" s="87"/>
      <c r="AC71" s="90" t="s">
        <v>81</v>
      </c>
      <c r="AD71" s="24"/>
      <c r="AE71" s="46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8"/>
      <c r="BH71" s="21"/>
    </row>
    <row r="72" spans="2:69" ht="15.75" customHeight="1" x14ac:dyDescent="0.2">
      <c r="B72" s="21"/>
      <c r="C72" s="90"/>
      <c r="D72" s="94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  <c r="P72" s="86" t="s">
        <v>20</v>
      </c>
      <c r="Q72" s="86"/>
      <c r="R72" s="86"/>
      <c r="S72" s="86"/>
      <c r="T72" s="87"/>
      <c r="U72" s="87"/>
      <c r="V72" s="87"/>
      <c r="W72" s="87"/>
      <c r="X72" s="87"/>
      <c r="Y72" s="87"/>
      <c r="Z72" s="87"/>
      <c r="AA72" s="87"/>
      <c r="AB72" s="87"/>
      <c r="AC72" s="90"/>
      <c r="AD72" s="24"/>
      <c r="AE72" s="74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6"/>
      <c r="BH72" s="21"/>
    </row>
    <row r="73" spans="2:69" ht="15.75" customHeight="1" x14ac:dyDescent="0.2">
      <c r="B73" s="21"/>
      <c r="C73" s="90"/>
      <c r="D73" s="80" t="s">
        <v>80</v>
      </c>
      <c r="E73" s="81"/>
      <c r="F73" s="81"/>
      <c r="G73" s="82"/>
      <c r="H73" s="83"/>
      <c r="I73" s="84"/>
      <c r="J73" s="84"/>
      <c r="K73" s="84"/>
      <c r="L73" s="84"/>
      <c r="M73" s="84"/>
      <c r="N73" s="84"/>
      <c r="O73" s="85"/>
      <c r="P73" s="86" t="s">
        <v>80</v>
      </c>
      <c r="Q73" s="86"/>
      <c r="R73" s="86"/>
      <c r="S73" s="86"/>
      <c r="T73" s="87"/>
      <c r="U73" s="87"/>
      <c r="V73" s="87"/>
      <c r="W73" s="87"/>
      <c r="X73" s="87"/>
      <c r="Y73" s="87"/>
      <c r="Z73" s="87"/>
      <c r="AA73" s="87"/>
      <c r="AB73" s="87"/>
      <c r="AC73" s="90"/>
      <c r="AD73" s="24"/>
      <c r="AE73" s="77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9"/>
      <c r="BH73" s="21"/>
    </row>
    <row r="74" spans="2:69" ht="4.5" customHeight="1" x14ac:dyDescent="0.2">
      <c r="B74" s="21"/>
      <c r="C74" s="20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0"/>
      <c r="BH74" s="21"/>
    </row>
    <row r="75" spans="2:69" ht="20.100000000000001" customHeight="1" x14ac:dyDescent="0.2"/>
    <row r="76" spans="2:69" ht="20.100000000000001" customHeight="1" x14ac:dyDescent="0.2">
      <c r="C76" s="1"/>
    </row>
    <row r="77" spans="2:69" ht="20.100000000000001" customHeight="1" x14ac:dyDescent="0.2"/>
    <row r="78" spans="2:69" ht="20.100000000000001" customHeight="1" x14ac:dyDescent="0.2"/>
  </sheetData>
  <mergeCells count="256">
    <mergeCell ref="C12:F12"/>
    <mergeCell ref="G12:AO12"/>
    <mergeCell ref="AP12:AV12"/>
    <mergeCell ref="BB12:BF12"/>
    <mergeCell ref="C13:I13"/>
    <mergeCell ref="J13:AO13"/>
    <mergeCell ref="AP13:AV13"/>
    <mergeCell ref="AW13:BF13"/>
    <mergeCell ref="E3:BE3"/>
    <mergeCell ref="I4:BA4"/>
    <mergeCell ref="K6:S6"/>
    <mergeCell ref="AR6:AY6"/>
    <mergeCell ref="G8:BB9"/>
    <mergeCell ref="C10:O11"/>
    <mergeCell ref="C14:O14"/>
    <mergeCell ref="P14:AO14"/>
    <mergeCell ref="AP14:AX14"/>
    <mergeCell ref="AY14:BF14"/>
    <mergeCell ref="C15:I15"/>
    <mergeCell ref="J15:X15"/>
    <mergeCell ref="Z15:AB15"/>
    <mergeCell ref="AC15:AO15"/>
    <mergeCell ref="AP15:AX15"/>
    <mergeCell ref="AY15:BF15"/>
    <mergeCell ref="C20:L20"/>
    <mergeCell ref="M20:BF20"/>
    <mergeCell ref="C21:J21"/>
    <mergeCell ref="K21:BF21"/>
    <mergeCell ref="C22:K22"/>
    <mergeCell ref="L22:BF22"/>
    <mergeCell ref="C17:O18"/>
    <mergeCell ref="AQ17:AS17"/>
    <mergeCell ref="AU17:AV17"/>
    <mergeCell ref="AX17:AY17"/>
    <mergeCell ref="C19:N19"/>
    <mergeCell ref="O19:BF19"/>
    <mergeCell ref="C23:BF23"/>
    <mergeCell ref="C24:K24"/>
    <mergeCell ref="L24:N24"/>
    <mergeCell ref="P24:T24"/>
    <mergeCell ref="V24:X24"/>
    <mergeCell ref="Z24:AC24"/>
    <mergeCell ref="AF24:AN24"/>
    <mergeCell ref="AP24:AZ24"/>
    <mergeCell ref="BA24:BF24"/>
    <mergeCell ref="C25:BF25"/>
    <mergeCell ref="C27:C33"/>
    <mergeCell ref="D27:G27"/>
    <mergeCell ref="H27:M27"/>
    <mergeCell ref="N27:S27"/>
    <mergeCell ref="T27:X27"/>
    <mergeCell ref="Y27:AC27"/>
    <mergeCell ref="AE27:AG28"/>
    <mergeCell ref="AH27:AV27"/>
    <mergeCell ref="AW27:BF27"/>
    <mergeCell ref="T31:V31"/>
    <mergeCell ref="W31:AC31"/>
    <mergeCell ref="AE31:AJ31"/>
    <mergeCell ref="AK31:BF31"/>
    <mergeCell ref="AW29:BA29"/>
    <mergeCell ref="BB29:BF29"/>
    <mergeCell ref="D30:G30"/>
    <mergeCell ref="H30:M30"/>
    <mergeCell ref="N30:X30"/>
    <mergeCell ref="Y30:AC30"/>
    <mergeCell ref="AE30:AG30"/>
    <mergeCell ref="AH30:AL30"/>
    <mergeCell ref="AM30:AQ30"/>
    <mergeCell ref="AR30:AV30"/>
    <mergeCell ref="BG27:BG31"/>
    <mergeCell ref="D28:G28"/>
    <mergeCell ref="H28:M28"/>
    <mergeCell ref="N28:S28"/>
    <mergeCell ref="T28:X28"/>
    <mergeCell ref="Y28:AC28"/>
    <mergeCell ref="AH28:AL28"/>
    <mergeCell ref="AM28:AQ28"/>
    <mergeCell ref="AR28:AV28"/>
    <mergeCell ref="AW28:BA28"/>
    <mergeCell ref="BB28:BF28"/>
    <mergeCell ref="D29:G29"/>
    <mergeCell ref="H29:M29"/>
    <mergeCell ref="N29:S29"/>
    <mergeCell ref="T29:X29"/>
    <mergeCell ref="Y29:AC29"/>
    <mergeCell ref="AE29:AG29"/>
    <mergeCell ref="AH29:AL29"/>
    <mergeCell ref="AM29:AQ29"/>
    <mergeCell ref="AR29:AV29"/>
    <mergeCell ref="AW30:BA30"/>
    <mergeCell ref="BB30:BF30"/>
    <mergeCell ref="D31:J31"/>
    <mergeCell ref="K31:S31"/>
    <mergeCell ref="C36:D36"/>
    <mergeCell ref="E36:AC36"/>
    <mergeCell ref="AE36:AG36"/>
    <mergeCell ref="AH36:AO36"/>
    <mergeCell ref="AP36:AW36"/>
    <mergeCell ref="AX36:BF36"/>
    <mergeCell ref="AP33:AW34"/>
    <mergeCell ref="AX33:BF34"/>
    <mergeCell ref="BG33:BG36"/>
    <mergeCell ref="C35:H35"/>
    <mergeCell ref="I35:W35"/>
    <mergeCell ref="X35:AC35"/>
    <mergeCell ref="AE35:AG35"/>
    <mergeCell ref="AH35:AO35"/>
    <mergeCell ref="AP35:AW35"/>
    <mergeCell ref="AX35:BF35"/>
    <mergeCell ref="D32:G33"/>
    <mergeCell ref="H32:S33"/>
    <mergeCell ref="T32:V33"/>
    <mergeCell ref="W32:AC33"/>
    <mergeCell ref="AE33:AG34"/>
    <mergeCell ref="AH33:AO34"/>
    <mergeCell ref="AT38:BF39"/>
    <mergeCell ref="BG38:BG39"/>
    <mergeCell ref="C39:F39"/>
    <mergeCell ref="G39:AC39"/>
    <mergeCell ref="AF39:AH39"/>
    <mergeCell ref="AI39:AS39"/>
    <mergeCell ref="C37:AC37"/>
    <mergeCell ref="C38:I38"/>
    <mergeCell ref="J38:AC38"/>
    <mergeCell ref="AE38:AE39"/>
    <mergeCell ref="AF38:AH38"/>
    <mergeCell ref="AI38:AS38"/>
    <mergeCell ref="C40:AC40"/>
    <mergeCell ref="C41:F41"/>
    <mergeCell ref="G41:AC41"/>
    <mergeCell ref="AE41:AG41"/>
    <mergeCell ref="AH41:BF41"/>
    <mergeCell ref="BG41:BG42"/>
    <mergeCell ref="C42:I42"/>
    <mergeCell ref="J42:AC42"/>
    <mergeCell ref="AE42:AG42"/>
    <mergeCell ref="AH42:BF42"/>
    <mergeCell ref="C43:AC43"/>
    <mergeCell ref="C44:I44"/>
    <mergeCell ref="J44:AC44"/>
    <mergeCell ref="AE44:AG44"/>
    <mergeCell ref="BD44:BF44"/>
    <mergeCell ref="BG44:BG48"/>
    <mergeCell ref="C45:G45"/>
    <mergeCell ref="H45:AC45"/>
    <mergeCell ref="C46:G46"/>
    <mergeCell ref="H46:AC46"/>
    <mergeCell ref="C49:AC49"/>
    <mergeCell ref="C50:I50"/>
    <mergeCell ref="J50:AC50"/>
    <mergeCell ref="AE50:AM50"/>
    <mergeCell ref="AN50:AV50"/>
    <mergeCell ref="AW50:BF50"/>
    <mergeCell ref="C47:E47"/>
    <mergeCell ref="F47:AC47"/>
    <mergeCell ref="AE47:AG47"/>
    <mergeCell ref="AH47:BF47"/>
    <mergeCell ref="C48:D48"/>
    <mergeCell ref="E48:AC48"/>
    <mergeCell ref="AE48:BF48"/>
    <mergeCell ref="C52:AC52"/>
    <mergeCell ref="C53:F53"/>
    <mergeCell ref="G53:AC53"/>
    <mergeCell ref="AE53:AJ53"/>
    <mergeCell ref="AK53:AT53"/>
    <mergeCell ref="AU53:BF53"/>
    <mergeCell ref="BG50:BG51"/>
    <mergeCell ref="C51:F51"/>
    <mergeCell ref="G51:AC51"/>
    <mergeCell ref="AE51:AM51"/>
    <mergeCell ref="AN51:AV51"/>
    <mergeCell ref="AW51:BF51"/>
    <mergeCell ref="BG53:BG56"/>
    <mergeCell ref="C54:I54"/>
    <mergeCell ref="J54:AC54"/>
    <mergeCell ref="AE54:AJ54"/>
    <mergeCell ref="AK54:AT54"/>
    <mergeCell ref="AU54:BF54"/>
    <mergeCell ref="C55:I55"/>
    <mergeCell ref="J55:AC55"/>
    <mergeCell ref="AE55:AJ55"/>
    <mergeCell ref="AK55:AT55"/>
    <mergeCell ref="C57:AC57"/>
    <mergeCell ref="C58:G58"/>
    <mergeCell ref="H58:AC58"/>
    <mergeCell ref="AE58:AE59"/>
    <mergeCell ref="AF58:AH58"/>
    <mergeCell ref="AI58:AM58"/>
    <mergeCell ref="AU55:BF55"/>
    <mergeCell ref="C56:G56"/>
    <mergeCell ref="H56:AC56"/>
    <mergeCell ref="AE56:AJ56"/>
    <mergeCell ref="AK56:AT56"/>
    <mergeCell ref="AU56:BF56"/>
    <mergeCell ref="AO58:AR58"/>
    <mergeCell ref="AS58:AV58"/>
    <mergeCell ref="AW58:BA58"/>
    <mergeCell ref="BC58:BF58"/>
    <mergeCell ref="X63:AC64"/>
    <mergeCell ref="BG58:BG59"/>
    <mergeCell ref="C59:E59"/>
    <mergeCell ref="F59:AC59"/>
    <mergeCell ref="AF59:AH59"/>
    <mergeCell ref="AI59:AM59"/>
    <mergeCell ref="AO59:AR59"/>
    <mergeCell ref="AS59:AV59"/>
    <mergeCell ref="AW59:BA59"/>
    <mergeCell ref="BC59:BF59"/>
    <mergeCell ref="BC61:BF61"/>
    <mergeCell ref="D62:F62"/>
    <mergeCell ref="O62:P62"/>
    <mergeCell ref="X62:AC62"/>
    <mergeCell ref="AF62:AH62"/>
    <mergeCell ref="AI62:AR62"/>
    <mergeCell ref="AS62:AV62"/>
    <mergeCell ref="AW62:BA62"/>
    <mergeCell ref="BC62:BF62"/>
    <mergeCell ref="BG65:BG66"/>
    <mergeCell ref="X66:AC66"/>
    <mergeCell ref="AF66:AH66"/>
    <mergeCell ref="AI66:AP66"/>
    <mergeCell ref="AQ66:AR66"/>
    <mergeCell ref="AS66:AX66"/>
    <mergeCell ref="AY66:BF66"/>
    <mergeCell ref="AF63:AK63"/>
    <mergeCell ref="AL63:AR63"/>
    <mergeCell ref="AS63:BF63"/>
    <mergeCell ref="X65:AC65"/>
    <mergeCell ref="AE65:AE66"/>
    <mergeCell ref="AF65:AH65"/>
    <mergeCell ref="AI65:AP65"/>
    <mergeCell ref="AQ65:AR65"/>
    <mergeCell ref="AS65:AX65"/>
    <mergeCell ref="AY65:BF65"/>
    <mergeCell ref="BG61:BG63"/>
    <mergeCell ref="X61:AC61"/>
    <mergeCell ref="AE61:AE63"/>
    <mergeCell ref="AF61:AH61"/>
    <mergeCell ref="AI61:AR61"/>
    <mergeCell ref="AS61:AV61"/>
    <mergeCell ref="AW61:BA61"/>
    <mergeCell ref="AE72:BG73"/>
    <mergeCell ref="D73:G73"/>
    <mergeCell ref="H73:O73"/>
    <mergeCell ref="P73:S73"/>
    <mergeCell ref="T73:AB73"/>
    <mergeCell ref="X67:AC68"/>
    <mergeCell ref="X69:AC69"/>
    <mergeCell ref="C71:C73"/>
    <mergeCell ref="D71:O71"/>
    <mergeCell ref="P71:S71"/>
    <mergeCell ref="T71:AB71"/>
    <mergeCell ref="AC71:AC73"/>
    <mergeCell ref="D72:O72"/>
    <mergeCell ref="P72:S72"/>
    <mergeCell ref="T72:AB72"/>
  </mergeCells>
  <pageMargins left="0.28000000000000003" right="0.09" top="0.14000000000000001" bottom="0.16" header="0.09" footer="0.1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B1:BQ78"/>
  <sheetViews>
    <sheetView showGridLines="0" topLeftCell="A49" zoomScale="145" zoomScaleNormal="145" workbookViewId="0">
      <selection activeCell="AS69" sqref="AS69"/>
    </sheetView>
  </sheetViews>
  <sheetFormatPr defaultColWidth="9.140625" defaultRowHeight="12.75" x14ac:dyDescent="0.2"/>
  <cols>
    <col min="1" max="1" width="0.7109375" style="1" customWidth="1"/>
    <col min="2" max="2" width="1.140625" style="1" customWidth="1"/>
    <col min="3" max="3" width="1.7109375" style="2" customWidth="1"/>
    <col min="4" max="23" width="1.7109375" style="1" customWidth="1"/>
    <col min="24" max="24" width="3.28515625" style="1" customWidth="1"/>
    <col min="25" max="29" width="1.7109375" style="1" customWidth="1"/>
    <col min="30" max="30" width="1" style="1" customWidth="1"/>
    <col min="31" max="45" width="1.7109375" style="1" customWidth="1"/>
    <col min="46" max="46" width="1.7109375" style="1" hidden="1" customWidth="1"/>
    <col min="47" max="57" width="1.7109375" style="1" customWidth="1"/>
    <col min="58" max="58" width="1.28515625" style="1" customWidth="1"/>
    <col min="59" max="59" width="1.7109375" style="2" customWidth="1"/>
    <col min="60" max="60" width="1.140625" style="1" customWidth="1"/>
    <col min="61" max="68" width="1.7109375" style="1" customWidth="1"/>
    <col min="69" max="16384" width="9.140625" style="1"/>
  </cols>
  <sheetData>
    <row r="1" spans="2:60" ht="6" customHeight="1" x14ac:dyDescent="0.2"/>
    <row r="2" spans="2:60" ht="4.5" customHeight="1" x14ac:dyDescent="0.2">
      <c r="B2" s="21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0"/>
      <c r="BH2" s="21"/>
    </row>
    <row r="3" spans="2:60" ht="14.25" customHeight="1" x14ac:dyDescent="0.2">
      <c r="B3" s="21"/>
      <c r="E3" s="261" t="s">
        <v>139</v>
      </c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  <c r="AV3" s="261"/>
      <c r="AW3" s="261"/>
      <c r="AX3" s="261"/>
      <c r="AY3" s="261"/>
      <c r="AZ3" s="261"/>
      <c r="BA3" s="261"/>
      <c r="BB3" s="261"/>
      <c r="BC3" s="261"/>
      <c r="BD3" s="261"/>
      <c r="BE3" s="261"/>
      <c r="BH3" s="21"/>
    </row>
    <row r="4" spans="2:60" x14ac:dyDescent="0.2">
      <c r="B4" s="21"/>
      <c r="I4" s="262" t="s">
        <v>114</v>
      </c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H4" s="21"/>
    </row>
    <row r="5" spans="2:60" ht="7.5" customHeight="1" x14ac:dyDescent="0.2">
      <c r="B5" s="21"/>
      <c r="BH5" s="21"/>
    </row>
    <row r="6" spans="2:60" s="3" customFormat="1" ht="14.25" customHeight="1" x14ac:dyDescent="0.25">
      <c r="B6" s="22"/>
      <c r="C6" s="4"/>
      <c r="G6" s="3" t="s">
        <v>6</v>
      </c>
      <c r="K6" s="263" t="s">
        <v>141</v>
      </c>
      <c r="L6" s="264"/>
      <c r="M6" s="264"/>
      <c r="N6" s="264"/>
      <c r="O6" s="264"/>
      <c r="P6" s="264"/>
      <c r="Q6" s="264"/>
      <c r="R6" s="264"/>
      <c r="S6" s="265"/>
      <c r="T6" s="15"/>
      <c r="AJ6" s="3" t="s">
        <v>7</v>
      </c>
      <c r="AR6" s="266"/>
      <c r="AS6" s="267"/>
      <c r="AT6" s="267"/>
      <c r="AU6" s="268"/>
      <c r="AV6" s="267"/>
      <c r="AW6" s="267"/>
      <c r="AX6" s="267"/>
      <c r="AY6" s="269"/>
      <c r="BG6" s="4"/>
      <c r="BH6" s="22"/>
    </row>
    <row r="7" spans="2:60" ht="4.5" customHeight="1" x14ac:dyDescent="0.2">
      <c r="B7" s="21"/>
      <c r="AU7" s="14"/>
      <c r="BH7" s="21"/>
    </row>
    <row r="8" spans="2:60" ht="10.5" customHeight="1" x14ac:dyDescent="0.2">
      <c r="B8" s="21"/>
      <c r="G8" s="139" t="s">
        <v>115</v>
      </c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H8" s="21"/>
    </row>
    <row r="9" spans="2:60" ht="3.75" customHeight="1" x14ac:dyDescent="0.2">
      <c r="B9" s="21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H9" s="21"/>
    </row>
    <row r="10" spans="2:60" ht="10.5" customHeight="1" x14ac:dyDescent="0.2">
      <c r="B10" s="21"/>
      <c r="C10" s="250" t="s">
        <v>4</v>
      </c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BH10" s="21"/>
    </row>
    <row r="11" spans="2:60" ht="4.5" customHeight="1" x14ac:dyDescent="0.2">
      <c r="B11" s="21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0"/>
      <c r="BH11" s="21"/>
    </row>
    <row r="12" spans="2:60" ht="15.75" customHeight="1" x14ac:dyDescent="0.2">
      <c r="B12" s="21"/>
      <c r="C12" s="129" t="s">
        <v>0</v>
      </c>
      <c r="D12" s="129"/>
      <c r="E12" s="129"/>
      <c r="F12" s="129"/>
      <c r="G12" s="257"/>
      <c r="H12" s="257"/>
      <c r="I12" s="257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139"/>
      <c r="AQ12" s="139"/>
      <c r="AR12" s="139"/>
      <c r="AS12" s="139"/>
      <c r="AT12" s="139"/>
      <c r="AU12" s="139"/>
      <c r="AV12" s="139"/>
      <c r="AX12" s="2" t="s">
        <v>8</v>
      </c>
      <c r="BB12" s="259"/>
      <c r="BC12" s="259"/>
      <c r="BD12" s="259"/>
      <c r="BE12" s="259"/>
      <c r="BF12" s="259"/>
      <c r="BH12" s="21"/>
    </row>
    <row r="13" spans="2:60" ht="15.75" customHeight="1" x14ac:dyDescent="0.2">
      <c r="B13" s="21"/>
      <c r="C13" s="129" t="s">
        <v>1</v>
      </c>
      <c r="D13" s="129"/>
      <c r="E13" s="129"/>
      <c r="F13" s="129"/>
      <c r="G13" s="129"/>
      <c r="H13" s="129"/>
      <c r="I13" s="12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249"/>
      <c r="AK13" s="249"/>
      <c r="AL13" s="249"/>
      <c r="AM13" s="249"/>
      <c r="AN13" s="249"/>
      <c r="AO13" s="249"/>
      <c r="AP13" s="129" t="s">
        <v>5</v>
      </c>
      <c r="AQ13" s="129"/>
      <c r="AR13" s="129"/>
      <c r="AS13" s="129"/>
      <c r="AT13" s="129"/>
      <c r="AU13" s="129"/>
      <c r="AV13" s="129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H13" s="21"/>
    </row>
    <row r="14" spans="2:60" ht="15.75" customHeight="1" x14ac:dyDescent="0.2">
      <c r="B14" s="21"/>
      <c r="C14" s="129" t="s">
        <v>2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8"/>
      <c r="AF14" s="248"/>
      <c r="AG14" s="248"/>
      <c r="AH14" s="248"/>
      <c r="AI14" s="248"/>
      <c r="AJ14" s="248"/>
      <c r="AK14" s="248"/>
      <c r="AL14" s="248"/>
      <c r="AM14" s="248"/>
      <c r="AN14" s="248"/>
      <c r="AO14" s="248"/>
      <c r="AP14" s="129" t="s">
        <v>123</v>
      </c>
      <c r="AQ14" s="129"/>
      <c r="AR14" s="129"/>
      <c r="AS14" s="129"/>
      <c r="AT14" s="129"/>
      <c r="AU14" s="129"/>
      <c r="AV14" s="129"/>
      <c r="AW14" s="129"/>
      <c r="AX14" s="129"/>
      <c r="AY14" s="249"/>
      <c r="AZ14" s="249"/>
      <c r="BA14" s="249"/>
      <c r="BB14" s="249"/>
      <c r="BC14" s="249"/>
      <c r="BD14" s="249"/>
      <c r="BE14" s="249"/>
      <c r="BF14" s="249"/>
      <c r="BH14" s="21"/>
    </row>
    <row r="15" spans="2:60" ht="15.75" customHeight="1" x14ac:dyDescent="0.2">
      <c r="B15" s="21"/>
      <c r="C15" s="129" t="s">
        <v>3</v>
      </c>
      <c r="D15" s="129"/>
      <c r="E15" s="129"/>
      <c r="F15" s="129"/>
      <c r="G15" s="129"/>
      <c r="H15" s="129"/>
      <c r="I15" s="129"/>
      <c r="J15" s="253"/>
      <c r="K15" s="130"/>
      <c r="L15" s="130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Z15" s="254" t="s">
        <v>121</v>
      </c>
      <c r="AA15" s="254"/>
      <c r="AB15" s="254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129" t="s">
        <v>122</v>
      </c>
      <c r="AQ15" s="129"/>
      <c r="AR15" s="129"/>
      <c r="AS15" s="129"/>
      <c r="AT15" s="129"/>
      <c r="AU15" s="129"/>
      <c r="AV15" s="129"/>
      <c r="AW15" s="129"/>
      <c r="AX15" s="129"/>
      <c r="AY15" s="256"/>
      <c r="AZ15" s="256"/>
      <c r="BA15" s="256"/>
      <c r="BB15" s="256"/>
      <c r="BC15" s="256"/>
      <c r="BD15" s="256"/>
      <c r="BE15" s="256"/>
      <c r="BF15" s="256"/>
      <c r="BH15" s="21"/>
    </row>
    <row r="16" spans="2:60" ht="6" customHeight="1" x14ac:dyDescent="0.2">
      <c r="B16" s="21"/>
      <c r="J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BH16" s="21"/>
    </row>
    <row r="17" spans="2:60" ht="10.5" customHeight="1" x14ac:dyDescent="0.2">
      <c r="B17" s="21"/>
      <c r="C17" s="250" t="s">
        <v>9</v>
      </c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AQ17" s="172" t="s">
        <v>140</v>
      </c>
      <c r="AR17" s="172"/>
      <c r="AS17" s="172"/>
      <c r="AU17" s="251" t="s">
        <v>21</v>
      </c>
      <c r="AV17" s="252"/>
      <c r="AX17" s="251" t="s">
        <v>20</v>
      </c>
      <c r="AY17" s="252"/>
      <c r="BH17" s="21"/>
    </row>
    <row r="18" spans="2:60" ht="4.5" customHeight="1" x14ac:dyDescent="0.2">
      <c r="B18" s="21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0"/>
      <c r="BH18" s="21"/>
    </row>
    <row r="19" spans="2:60" ht="15.75" customHeight="1" x14ac:dyDescent="0.2">
      <c r="B19" s="21"/>
      <c r="C19" s="129" t="s">
        <v>10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8"/>
      <c r="BB19" s="248"/>
      <c r="BC19" s="248"/>
      <c r="BD19" s="248"/>
      <c r="BE19" s="248"/>
      <c r="BF19" s="248"/>
      <c r="BH19" s="21"/>
    </row>
    <row r="20" spans="2:60" ht="15.75" customHeight="1" x14ac:dyDescent="0.2">
      <c r="B20" s="21"/>
      <c r="C20" s="129" t="s">
        <v>11</v>
      </c>
      <c r="D20" s="129"/>
      <c r="E20" s="129"/>
      <c r="F20" s="129"/>
      <c r="G20" s="129"/>
      <c r="H20" s="129"/>
      <c r="I20" s="129"/>
      <c r="J20" s="129"/>
      <c r="K20" s="129"/>
      <c r="L20" s="129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  <c r="BD20" s="248"/>
      <c r="BE20" s="248"/>
      <c r="BF20" s="248"/>
      <c r="BH20" s="21"/>
    </row>
    <row r="21" spans="2:60" ht="15.75" customHeight="1" x14ac:dyDescent="0.2">
      <c r="B21" s="21"/>
      <c r="C21" s="129" t="s">
        <v>12</v>
      </c>
      <c r="D21" s="129"/>
      <c r="E21" s="129"/>
      <c r="F21" s="129"/>
      <c r="G21" s="129"/>
      <c r="H21" s="129"/>
      <c r="I21" s="129"/>
      <c r="J21" s="129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  <c r="BD21" s="248"/>
      <c r="BE21" s="248"/>
      <c r="BF21" s="248"/>
      <c r="BH21" s="21"/>
    </row>
    <row r="22" spans="2:60" ht="15.75" customHeight="1" x14ac:dyDescent="0.2">
      <c r="B22" s="21"/>
      <c r="C22" s="129" t="s">
        <v>13</v>
      </c>
      <c r="D22" s="129"/>
      <c r="E22" s="129"/>
      <c r="F22" s="129"/>
      <c r="G22" s="129"/>
      <c r="H22" s="129"/>
      <c r="I22" s="129"/>
      <c r="J22" s="129"/>
      <c r="K22" s="12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H22" s="21"/>
    </row>
    <row r="23" spans="2:60" ht="6.75" customHeight="1" x14ac:dyDescent="0.2">
      <c r="B23" s="21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H23" s="21"/>
    </row>
    <row r="24" spans="2:60" ht="15" customHeight="1" x14ac:dyDescent="0.2">
      <c r="B24" s="21"/>
      <c r="C24" s="129" t="s">
        <v>14</v>
      </c>
      <c r="D24" s="129"/>
      <c r="E24" s="129"/>
      <c r="F24" s="129"/>
      <c r="G24" s="129"/>
      <c r="H24" s="129"/>
      <c r="I24" s="129"/>
      <c r="J24" s="129"/>
      <c r="K24" s="129"/>
      <c r="L24" s="241" t="s">
        <v>15</v>
      </c>
      <c r="M24" s="242"/>
      <c r="N24" s="243"/>
      <c r="O24" s="16"/>
      <c r="P24" s="244" t="s">
        <v>16</v>
      </c>
      <c r="Q24" s="245"/>
      <c r="R24" s="245"/>
      <c r="S24" s="245"/>
      <c r="T24" s="246"/>
      <c r="V24" s="244" t="s">
        <v>17</v>
      </c>
      <c r="W24" s="245"/>
      <c r="X24" s="246"/>
      <c r="Y24" s="16"/>
      <c r="Z24" s="244" t="s">
        <v>18</v>
      </c>
      <c r="AA24" s="245"/>
      <c r="AB24" s="245"/>
      <c r="AC24" s="246"/>
      <c r="AD24" s="16"/>
      <c r="AF24" s="244" t="s">
        <v>19</v>
      </c>
      <c r="AG24" s="245"/>
      <c r="AH24" s="245"/>
      <c r="AI24" s="245"/>
      <c r="AJ24" s="245"/>
      <c r="AK24" s="245"/>
      <c r="AL24" s="245"/>
      <c r="AM24" s="245"/>
      <c r="AN24" s="245"/>
      <c r="AO24" s="16"/>
      <c r="AP24" s="139" t="s">
        <v>78</v>
      </c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247"/>
      <c r="BB24" s="247"/>
      <c r="BC24" s="247"/>
      <c r="BD24" s="247"/>
      <c r="BE24" s="247"/>
      <c r="BF24" s="247"/>
      <c r="BH24" s="21"/>
    </row>
    <row r="25" spans="2:60" ht="5.25" customHeight="1" x14ac:dyDescent="0.2">
      <c r="B25" s="21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H25" s="21"/>
    </row>
    <row r="26" spans="2:60" ht="4.5" customHeight="1" thickBot="1" x14ac:dyDescent="0.25">
      <c r="B26" s="2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0"/>
      <c r="BH26" s="21"/>
    </row>
    <row r="27" spans="2:60" x14ac:dyDescent="0.2">
      <c r="B27" s="21"/>
      <c r="C27" s="220" t="s">
        <v>30</v>
      </c>
      <c r="D27" s="97"/>
      <c r="E27" s="97"/>
      <c r="F27" s="97"/>
      <c r="G27" s="97"/>
      <c r="H27" s="97" t="s">
        <v>25</v>
      </c>
      <c r="I27" s="97"/>
      <c r="J27" s="97"/>
      <c r="K27" s="97"/>
      <c r="L27" s="97"/>
      <c r="M27" s="97"/>
      <c r="N27" s="97" t="s">
        <v>26</v>
      </c>
      <c r="O27" s="97"/>
      <c r="P27" s="97"/>
      <c r="Q27" s="97"/>
      <c r="R27" s="97"/>
      <c r="S27" s="97"/>
      <c r="T27" s="97" t="s">
        <v>27</v>
      </c>
      <c r="U27" s="97"/>
      <c r="V27" s="97"/>
      <c r="W27" s="97"/>
      <c r="X27" s="155"/>
      <c r="Y27" s="97" t="s">
        <v>28</v>
      </c>
      <c r="Z27" s="97"/>
      <c r="AA27" s="97"/>
      <c r="AB27" s="97"/>
      <c r="AC27" s="97"/>
      <c r="AD27" s="20"/>
      <c r="AE27" s="221"/>
      <c r="AF27" s="222"/>
      <c r="AG27" s="222"/>
      <c r="AH27" s="225" t="s">
        <v>31</v>
      </c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 t="s">
        <v>35</v>
      </c>
      <c r="AX27" s="225"/>
      <c r="AY27" s="225"/>
      <c r="AZ27" s="225"/>
      <c r="BA27" s="225"/>
      <c r="BB27" s="225"/>
      <c r="BC27" s="225"/>
      <c r="BD27" s="225"/>
      <c r="BE27" s="225"/>
      <c r="BF27" s="226"/>
      <c r="BG27" s="192" t="s">
        <v>36</v>
      </c>
      <c r="BH27" s="21"/>
    </row>
    <row r="28" spans="2:60" ht="15" customHeight="1" x14ac:dyDescent="0.2">
      <c r="B28" s="21"/>
      <c r="C28" s="220"/>
      <c r="D28" s="97" t="s">
        <v>21</v>
      </c>
      <c r="E28" s="97"/>
      <c r="F28" s="97"/>
      <c r="G28" s="97"/>
      <c r="H28" s="193"/>
      <c r="I28" s="194"/>
      <c r="J28" s="194"/>
      <c r="K28" s="194"/>
      <c r="L28" s="194"/>
      <c r="M28" s="195"/>
      <c r="N28" s="196"/>
      <c r="O28" s="197"/>
      <c r="P28" s="197"/>
      <c r="Q28" s="197"/>
      <c r="R28" s="197"/>
      <c r="S28" s="198"/>
      <c r="T28" s="196"/>
      <c r="U28" s="197"/>
      <c r="V28" s="197"/>
      <c r="W28" s="197"/>
      <c r="X28" s="199"/>
      <c r="Y28" s="200"/>
      <c r="Z28" s="200"/>
      <c r="AA28" s="200"/>
      <c r="AB28" s="200"/>
      <c r="AC28" s="200"/>
      <c r="AD28" s="20"/>
      <c r="AE28" s="223"/>
      <c r="AF28" s="224"/>
      <c r="AG28" s="224"/>
      <c r="AH28" s="201" t="s">
        <v>33</v>
      </c>
      <c r="AI28" s="202"/>
      <c r="AJ28" s="202"/>
      <c r="AK28" s="202"/>
      <c r="AL28" s="203"/>
      <c r="AM28" s="204" t="s">
        <v>34</v>
      </c>
      <c r="AN28" s="205"/>
      <c r="AO28" s="205"/>
      <c r="AP28" s="205"/>
      <c r="AQ28" s="205"/>
      <c r="AR28" s="187" t="s">
        <v>37</v>
      </c>
      <c r="AS28" s="187"/>
      <c r="AT28" s="187"/>
      <c r="AU28" s="187"/>
      <c r="AV28" s="187"/>
      <c r="AW28" s="205" t="s">
        <v>38</v>
      </c>
      <c r="AX28" s="205"/>
      <c r="AY28" s="205"/>
      <c r="AZ28" s="205"/>
      <c r="BA28" s="205"/>
      <c r="BB28" s="205" t="s">
        <v>39</v>
      </c>
      <c r="BC28" s="205"/>
      <c r="BD28" s="205"/>
      <c r="BE28" s="205"/>
      <c r="BF28" s="206"/>
      <c r="BG28" s="192"/>
      <c r="BH28" s="21"/>
    </row>
    <row r="29" spans="2:60" ht="15" customHeight="1" x14ac:dyDescent="0.2">
      <c r="B29" s="21"/>
      <c r="C29" s="220"/>
      <c r="D29" s="97" t="s">
        <v>20</v>
      </c>
      <c r="E29" s="97"/>
      <c r="F29" s="97"/>
      <c r="G29" s="97"/>
      <c r="H29" s="193"/>
      <c r="I29" s="194"/>
      <c r="J29" s="194"/>
      <c r="K29" s="194"/>
      <c r="L29" s="194"/>
      <c r="M29" s="195"/>
      <c r="N29" s="207"/>
      <c r="O29" s="194"/>
      <c r="P29" s="194"/>
      <c r="Q29" s="194"/>
      <c r="R29" s="194"/>
      <c r="S29" s="208"/>
      <c r="T29" s="193"/>
      <c r="U29" s="194"/>
      <c r="V29" s="194"/>
      <c r="W29" s="194"/>
      <c r="X29" s="208"/>
      <c r="Y29" s="200"/>
      <c r="Z29" s="200"/>
      <c r="AA29" s="200"/>
      <c r="AB29" s="200"/>
      <c r="AC29" s="200"/>
      <c r="AD29" s="20"/>
      <c r="AE29" s="209" t="s">
        <v>21</v>
      </c>
      <c r="AF29" s="97"/>
      <c r="AG29" s="97"/>
      <c r="AH29" s="210"/>
      <c r="AI29" s="211"/>
      <c r="AJ29" s="211"/>
      <c r="AK29" s="211"/>
      <c r="AL29" s="211"/>
      <c r="AM29" s="212"/>
      <c r="AN29" s="212"/>
      <c r="AO29" s="212"/>
      <c r="AP29" s="212"/>
      <c r="AQ29" s="212"/>
      <c r="AR29" s="163"/>
      <c r="AS29" s="163"/>
      <c r="AT29" s="163"/>
      <c r="AU29" s="163"/>
      <c r="AV29" s="163"/>
      <c r="AW29" s="212"/>
      <c r="AX29" s="212"/>
      <c r="AY29" s="212"/>
      <c r="AZ29" s="212"/>
      <c r="BA29" s="212"/>
      <c r="BB29" s="212"/>
      <c r="BC29" s="212"/>
      <c r="BD29" s="212"/>
      <c r="BE29" s="212"/>
      <c r="BF29" s="234"/>
      <c r="BG29" s="192"/>
      <c r="BH29" s="21"/>
    </row>
    <row r="30" spans="2:60" ht="15" customHeight="1" thickBot="1" x14ac:dyDescent="0.25">
      <c r="B30" s="21"/>
      <c r="C30" s="220"/>
      <c r="D30" s="97" t="s">
        <v>22</v>
      </c>
      <c r="E30" s="97"/>
      <c r="F30" s="97"/>
      <c r="G30" s="97"/>
      <c r="H30" s="193"/>
      <c r="I30" s="194"/>
      <c r="J30" s="194"/>
      <c r="K30" s="194"/>
      <c r="L30" s="194"/>
      <c r="M30" s="195"/>
      <c r="N30" s="235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00"/>
      <c r="Z30" s="200"/>
      <c r="AA30" s="200"/>
      <c r="AB30" s="200"/>
      <c r="AC30" s="200"/>
      <c r="AD30" s="20"/>
      <c r="AE30" s="237" t="s">
        <v>20</v>
      </c>
      <c r="AF30" s="238"/>
      <c r="AG30" s="238"/>
      <c r="AH30" s="239"/>
      <c r="AI30" s="213"/>
      <c r="AJ30" s="213"/>
      <c r="AK30" s="213"/>
      <c r="AL30" s="213"/>
      <c r="AM30" s="213"/>
      <c r="AN30" s="213"/>
      <c r="AO30" s="213"/>
      <c r="AP30" s="213"/>
      <c r="AQ30" s="213"/>
      <c r="AR30" s="240"/>
      <c r="AS30" s="240"/>
      <c r="AT30" s="240"/>
      <c r="AU30" s="240"/>
      <c r="AV30" s="240"/>
      <c r="AW30" s="213"/>
      <c r="AX30" s="213"/>
      <c r="AY30" s="213"/>
      <c r="AZ30" s="213"/>
      <c r="BA30" s="213"/>
      <c r="BB30" s="213"/>
      <c r="BC30" s="213"/>
      <c r="BD30" s="213"/>
      <c r="BE30" s="213"/>
      <c r="BF30" s="214"/>
      <c r="BG30" s="192"/>
      <c r="BH30" s="21"/>
    </row>
    <row r="31" spans="2:60" ht="15" customHeight="1" x14ac:dyDescent="0.2">
      <c r="B31" s="21"/>
      <c r="C31" s="220"/>
      <c r="D31" s="215" t="s">
        <v>23</v>
      </c>
      <c r="E31" s="215"/>
      <c r="F31" s="215"/>
      <c r="G31" s="215"/>
      <c r="H31" s="216"/>
      <c r="I31" s="216"/>
      <c r="J31" s="216"/>
      <c r="K31" s="217"/>
      <c r="L31" s="218"/>
      <c r="M31" s="218"/>
      <c r="N31" s="218"/>
      <c r="O31" s="218"/>
      <c r="P31" s="218"/>
      <c r="Q31" s="218"/>
      <c r="R31" s="218"/>
      <c r="S31" s="219"/>
      <c r="T31" s="227" t="s">
        <v>29</v>
      </c>
      <c r="U31" s="228"/>
      <c r="V31" s="229"/>
      <c r="W31" s="185"/>
      <c r="X31" s="185"/>
      <c r="Y31" s="185"/>
      <c r="Z31" s="185"/>
      <c r="AA31" s="185"/>
      <c r="AB31" s="185"/>
      <c r="AC31" s="185"/>
      <c r="AD31" s="20"/>
      <c r="AE31" s="230" t="s">
        <v>32</v>
      </c>
      <c r="AF31" s="230"/>
      <c r="AG31" s="230"/>
      <c r="AH31" s="230"/>
      <c r="AI31" s="230"/>
      <c r="AJ31" s="230"/>
      <c r="AK31" s="231"/>
      <c r="AL31" s="232"/>
      <c r="AM31" s="232"/>
      <c r="AN31" s="232"/>
      <c r="AO31" s="232"/>
      <c r="AP31" s="232"/>
      <c r="AQ31" s="232"/>
      <c r="AR31" s="232"/>
      <c r="AS31" s="232"/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3"/>
      <c r="BG31" s="90"/>
      <c r="BH31" s="21"/>
    </row>
    <row r="32" spans="2:60" ht="4.5" customHeight="1" x14ac:dyDescent="0.2">
      <c r="B32" s="21"/>
      <c r="C32" s="220"/>
      <c r="D32" s="97" t="s">
        <v>24</v>
      </c>
      <c r="E32" s="97"/>
      <c r="F32" s="97"/>
      <c r="G32" s="97"/>
      <c r="H32" s="173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5"/>
      <c r="T32" s="179" t="s">
        <v>40</v>
      </c>
      <c r="U32" s="180"/>
      <c r="V32" s="181"/>
      <c r="W32" s="185"/>
      <c r="X32" s="185"/>
      <c r="Y32" s="185"/>
      <c r="Z32" s="185"/>
      <c r="AA32" s="185"/>
      <c r="AB32" s="185"/>
      <c r="AC32" s="185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1"/>
      <c r="BG32" s="32"/>
      <c r="BH32" s="31"/>
    </row>
    <row r="33" spans="2:60" ht="12" customHeight="1" x14ac:dyDescent="0.2">
      <c r="B33" s="21"/>
      <c r="C33" s="220"/>
      <c r="D33" s="97"/>
      <c r="E33" s="97"/>
      <c r="F33" s="97"/>
      <c r="G33" s="97"/>
      <c r="H33" s="176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8"/>
      <c r="T33" s="182"/>
      <c r="U33" s="183"/>
      <c r="V33" s="184"/>
      <c r="W33" s="185"/>
      <c r="X33" s="185"/>
      <c r="Y33" s="185"/>
      <c r="Z33" s="185"/>
      <c r="AA33" s="185"/>
      <c r="AB33" s="185"/>
      <c r="AC33" s="185"/>
      <c r="AD33" s="21"/>
      <c r="AE33" s="186"/>
      <c r="AF33" s="187"/>
      <c r="AG33" s="188"/>
      <c r="AH33" s="97" t="s">
        <v>41</v>
      </c>
      <c r="AI33" s="97"/>
      <c r="AJ33" s="97"/>
      <c r="AK33" s="97"/>
      <c r="AL33" s="97"/>
      <c r="AM33" s="97"/>
      <c r="AN33" s="97"/>
      <c r="AO33" s="97"/>
      <c r="AP33" s="97" t="s">
        <v>42</v>
      </c>
      <c r="AQ33" s="97"/>
      <c r="AR33" s="97"/>
      <c r="AS33" s="97"/>
      <c r="AT33" s="97"/>
      <c r="AU33" s="97"/>
      <c r="AV33" s="97"/>
      <c r="AW33" s="97"/>
      <c r="AX33" s="97" t="s">
        <v>43</v>
      </c>
      <c r="AY33" s="97"/>
      <c r="AZ33" s="97"/>
      <c r="BA33" s="97"/>
      <c r="BB33" s="97"/>
      <c r="BC33" s="97"/>
      <c r="BD33" s="97"/>
      <c r="BE33" s="97"/>
      <c r="BF33" s="97"/>
      <c r="BG33" s="90" t="s">
        <v>44</v>
      </c>
      <c r="BH33" s="32"/>
    </row>
    <row r="34" spans="2:60" ht="4.5" customHeight="1" x14ac:dyDescent="0.2">
      <c r="B34" s="21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189"/>
      <c r="AF34" s="190"/>
      <c r="AG34" s="191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0"/>
      <c r="BH34" s="31"/>
    </row>
    <row r="35" spans="2:60" ht="13.5" customHeight="1" x14ac:dyDescent="0.2">
      <c r="B35" s="21"/>
      <c r="C35" s="139"/>
      <c r="D35" s="139"/>
      <c r="E35" s="139"/>
      <c r="F35" s="139"/>
      <c r="G35" s="139"/>
      <c r="H35" s="139"/>
      <c r="I35" s="171" t="s">
        <v>69</v>
      </c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2"/>
      <c r="Y35" s="172"/>
      <c r="Z35" s="172"/>
      <c r="AA35" s="172"/>
      <c r="AB35" s="172"/>
      <c r="AC35" s="172"/>
      <c r="AD35" s="21"/>
      <c r="AE35" s="97" t="s">
        <v>21</v>
      </c>
      <c r="AF35" s="97"/>
      <c r="AG35" s="155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0"/>
      <c r="BH35" s="31"/>
    </row>
    <row r="36" spans="2:60" ht="15" customHeight="1" x14ac:dyDescent="0.2">
      <c r="B36" s="21"/>
      <c r="C36" s="165" t="s">
        <v>21</v>
      </c>
      <c r="D36" s="166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21"/>
      <c r="AE36" s="97" t="s">
        <v>20</v>
      </c>
      <c r="AF36" s="97"/>
      <c r="AG36" s="155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0"/>
      <c r="BH36" s="31"/>
    </row>
    <row r="37" spans="2:60" ht="4.5" customHeight="1" x14ac:dyDescent="0.2">
      <c r="B37" s="21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2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3"/>
      <c r="BH37" s="31"/>
    </row>
    <row r="38" spans="2:60" ht="15" customHeight="1" x14ac:dyDescent="0.2">
      <c r="B38" s="21"/>
      <c r="C38" s="129" t="s">
        <v>73</v>
      </c>
      <c r="D38" s="129"/>
      <c r="E38" s="129"/>
      <c r="F38" s="129"/>
      <c r="G38" s="129"/>
      <c r="H38" s="129"/>
      <c r="I38" s="129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21"/>
      <c r="AE38" s="170" t="s">
        <v>45</v>
      </c>
      <c r="AF38" s="97" t="s">
        <v>21</v>
      </c>
      <c r="AG38" s="97"/>
      <c r="AH38" s="97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70" t="s">
        <v>46</v>
      </c>
      <c r="BH38" s="21"/>
    </row>
    <row r="39" spans="2:60" ht="15" customHeight="1" x14ac:dyDescent="0.2">
      <c r="B39" s="21"/>
      <c r="C39" s="129" t="s">
        <v>72</v>
      </c>
      <c r="D39" s="129"/>
      <c r="E39" s="129"/>
      <c r="F39" s="129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21"/>
      <c r="AE39" s="170"/>
      <c r="AF39" s="97" t="s">
        <v>20</v>
      </c>
      <c r="AG39" s="97"/>
      <c r="AH39" s="97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70"/>
      <c r="BH39" s="21"/>
    </row>
    <row r="40" spans="2:60" ht="4.5" customHeight="1" x14ac:dyDescent="0.2">
      <c r="B40" s="21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21"/>
      <c r="AE40" s="34"/>
      <c r="AF40" s="35"/>
      <c r="AG40" s="35"/>
      <c r="AH40" s="35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7"/>
      <c r="BH40" s="21"/>
    </row>
    <row r="41" spans="2:60" ht="14.25" customHeight="1" x14ac:dyDescent="0.2">
      <c r="B41" s="21"/>
      <c r="C41" s="129" t="s">
        <v>71</v>
      </c>
      <c r="D41" s="129"/>
      <c r="E41" s="129"/>
      <c r="F41" s="129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21"/>
      <c r="AE41" s="97" t="s">
        <v>21</v>
      </c>
      <c r="AF41" s="97"/>
      <c r="AG41" s="9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90" t="s">
        <v>47</v>
      </c>
      <c r="BH41" s="21"/>
    </row>
    <row r="42" spans="2:60" ht="14.25" customHeight="1" x14ac:dyDescent="0.2">
      <c r="B42" s="21"/>
      <c r="C42" s="129" t="s">
        <v>70</v>
      </c>
      <c r="D42" s="129"/>
      <c r="E42" s="129"/>
      <c r="F42" s="129"/>
      <c r="G42" s="129"/>
      <c r="H42" s="129"/>
      <c r="I42" s="129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21"/>
      <c r="AE42" s="97" t="s">
        <v>20</v>
      </c>
      <c r="AF42" s="97"/>
      <c r="AG42" s="9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90"/>
      <c r="BH42" s="21"/>
    </row>
    <row r="43" spans="2:60" ht="4.5" customHeight="1" x14ac:dyDescent="0.2">
      <c r="B43" s="21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9"/>
      <c r="BH43" s="21"/>
    </row>
    <row r="44" spans="2:60" ht="14.25" customHeight="1" x14ac:dyDescent="0.2">
      <c r="B44" s="21"/>
      <c r="C44" s="129" t="s">
        <v>77</v>
      </c>
      <c r="D44" s="129"/>
      <c r="E44" s="129"/>
      <c r="F44" s="129"/>
      <c r="G44" s="129"/>
      <c r="H44" s="129"/>
      <c r="I44" s="129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21"/>
      <c r="AE44" s="97" t="s">
        <v>21</v>
      </c>
      <c r="AF44" s="97"/>
      <c r="AG44" s="97"/>
      <c r="AJ44" s="7"/>
      <c r="AM44" s="7"/>
      <c r="AW44" s="7"/>
      <c r="AZ44" s="7"/>
      <c r="BD44" s="97" t="s">
        <v>20</v>
      </c>
      <c r="BE44" s="97"/>
      <c r="BF44" s="97"/>
      <c r="BG44" s="90" t="s">
        <v>48</v>
      </c>
      <c r="BH44" s="21"/>
    </row>
    <row r="45" spans="2:60" ht="14.25" customHeight="1" x14ac:dyDescent="0.2">
      <c r="B45" s="21"/>
      <c r="C45" s="129" t="s">
        <v>74</v>
      </c>
      <c r="D45" s="129"/>
      <c r="E45" s="129"/>
      <c r="F45" s="129"/>
      <c r="G45" s="129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21"/>
      <c r="AH45" s="8"/>
      <c r="AI45" s="10"/>
      <c r="AJ45" s="11"/>
      <c r="AK45" s="10"/>
      <c r="AL45" s="10"/>
      <c r="AM45" s="11"/>
      <c r="AN45" s="10"/>
      <c r="AO45" s="10"/>
      <c r="AP45" s="8"/>
      <c r="AU45" s="8"/>
      <c r="AV45" s="10"/>
      <c r="AW45" s="11"/>
      <c r="AX45" s="10"/>
      <c r="AY45" s="10"/>
      <c r="AZ45" s="11"/>
      <c r="BA45" s="10"/>
      <c r="BB45" s="10"/>
      <c r="BC45" s="8"/>
      <c r="BG45" s="90"/>
      <c r="BH45" s="21"/>
    </row>
    <row r="46" spans="2:60" ht="14.25" customHeight="1" x14ac:dyDescent="0.2">
      <c r="B46" s="21"/>
      <c r="C46" s="129" t="s">
        <v>75</v>
      </c>
      <c r="D46" s="129"/>
      <c r="E46" s="129"/>
      <c r="F46" s="129"/>
      <c r="G46" s="129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21"/>
      <c r="AJ46" s="9"/>
      <c r="AM46" s="9"/>
      <c r="AW46" s="9"/>
      <c r="AZ46" s="9"/>
      <c r="BG46" s="90"/>
      <c r="BH46" s="21"/>
    </row>
    <row r="47" spans="2:60" ht="14.25" customHeight="1" x14ac:dyDescent="0.2">
      <c r="B47" s="21"/>
      <c r="C47" s="129" t="s">
        <v>76</v>
      </c>
      <c r="D47" s="129"/>
      <c r="E47" s="129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21"/>
      <c r="AE47" s="129" t="s">
        <v>49</v>
      </c>
      <c r="AF47" s="129"/>
      <c r="AG47" s="129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90"/>
      <c r="BH47" s="21"/>
    </row>
    <row r="48" spans="2:60" ht="15" customHeight="1" x14ac:dyDescent="0.2">
      <c r="B48" s="21"/>
      <c r="C48" s="165" t="s">
        <v>20</v>
      </c>
      <c r="D48" s="166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90"/>
      <c r="BH48" s="21"/>
    </row>
    <row r="49" spans="2:60" ht="4.5" customHeight="1" x14ac:dyDescent="0.2">
      <c r="B49" s="21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9"/>
      <c r="BH49" s="21"/>
    </row>
    <row r="50" spans="2:60" ht="14.25" customHeight="1" x14ac:dyDescent="0.2">
      <c r="B50" s="21"/>
      <c r="C50" s="129" t="s">
        <v>73</v>
      </c>
      <c r="D50" s="129"/>
      <c r="E50" s="129"/>
      <c r="F50" s="129"/>
      <c r="G50" s="129"/>
      <c r="H50" s="129"/>
      <c r="I50" s="129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21"/>
      <c r="AE50" s="97" t="s">
        <v>50</v>
      </c>
      <c r="AF50" s="97"/>
      <c r="AG50" s="97"/>
      <c r="AH50" s="97"/>
      <c r="AI50" s="97"/>
      <c r="AJ50" s="97"/>
      <c r="AK50" s="97"/>
      <c r="AL50" s="97"/>
      <c r="AM50" s="97"/>
      <c r="AN50" s="164" t="s">
        <v>51</v>
      </c>
      <c r="AO50" s="164"/>
      <c r="AP50" s="164"/>
      <c r="AQ50" s="164"/>
      <c r="AR50" s="164"/>
      <c r="AS50" s="164"/>
      <c r="AT50" s="164"/>
      <c r="AU50" s="164"/>
      <c r="AV50" s="164"/>
      <c r="AW50" s="164" t="s">
        <v>24</v>
      </c>
      <c r="AX50" s="164"/>
      <c r="AY50" s="164"/>
      <c r="AZ50" s="164"/>
      <c r="BA50" s="164"/>
      <c r="BB50" s="164"/>
      <c r="BC50" s="164"/>
      <c r="BD50" s="164"/>
      <c r="BE50" s="164"/>
      <c r="BF50" s="164"/>
      <c r="BG50" s="90" t="s">
        <v>52</v>
      </c>
      <c r="BH50" s="21"/>
    </row>
    <row r="51" spans="2:60" ht="15.75" customHeight="1" x14ac:dyDescent="0.2">
      <c r="B51" s="21"/>
      <c r="C51" s="129" t="s">
        <v>72</v>
      </c>
      <c r="D51" s="129"/>
      <c r="E51" s="129"/>
      <c r="F51" s="129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21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0"/>
      <c r="BH51" s="21"/>
    </row>
    <row r="52" spans="2:60" ht="4.5" customHeight="1" x14ac:dyDescent="0.2">
      <c r="B52" s="21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21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29"/>
      <c r="BH52" s="21"/>
    </row>
    <row r="53" spans="2:60" s="2" customFormat="1" ht="14.25" customHeight="1" x14ac:dyDescent="0.2">
      <c r="B53" s="20"/>
      <c r="C53" s="129" t="s">
        <v>71</v>
      </c>
      <c r="D53" s="129"/>
      <c r="E53" s="129"/>
      <c r="F53" s="129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20"/>
      <c r="AE53" s="97" t="s">
        <v>53</v>
      </c>
      <c r="AF53" s="97"/>
      <c r="AG53" s="97"/>
      <c r="AH53" s="97"/>
      <c r="AI53" s="97"/>
      <c r="AJ53" s="97"/>
      <c r="AK53" s="97" t="s">
        <v>111</v>
      </c>
      <c r="AL53" s="97"/>
      <c r="AM53" s="97"/>
      <c r="AN53" s="97"/>
      <c r="AO53" s="97"/>
      <c r="AP53" s="97"/>
      <c r="AQ53" s="97"/>
      <c r="AR53" s="97"/>
      <c r="AS53" s="97"/>
      <c r="AT53" s="97"/>
      <c r="AU53" s="97" t="s">
        <v>112</v>
      </c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155"/>
      <c r="BG53" s="90" t="s">
        <v>57</v>
      </c>
      <c r="BH53" s="20"/>
    </row>
    <row r="54" spans="2:60" ht="14.25" customHeight="1" x14ac:dyDescent="0.2">
      <c r="B54" s="21"/>
      <c r="C54" s="129" t="s">
        <v>70</v>
      </c>
      <c r="D54" s="129"/>
      <c r="E54" s="129"/>
      <c r="F54" s="129"/>
      <c r="G54" s="129"/>
      <c r="H54" s="129"/>
      <c r="I54" s="129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21"/>
      <c r="AE54" s="97" t="s">
        <v>54</v>
      </c>
      <c r="AF54" s="97"/>
      <c r="AG54" s="97"/>
      <c r="AH54" s="97"/>
      <c r="AI54" s="97"/>
      <c r="AJ54" s="9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8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60"/>
      <c r="BG54" s="90"/>
      <c r="BH54" s="21"/>
    </row>
    <row r="55" spans="2:60" ht="14.25" customHeight="1" x14ac:dyDescent="0.2">
      <c r="B55" s="21"/>
      <c r="C55" s="129" t="s">
        <v>77</v>
      </c>
      <c r="D55" s="129"/>
      <c r="E55" s="129"/>
      <c r="F55" s="129"/>
      <c r="G55" s="129"/>
      <c r="H55" s="129"/>
      <c r="I55" s="129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21"/>
      <c r="AE55" s="97" t="s">
        <v>55</v>
      </c>
      <c r="AF55" s="97"/>
      <c r="AG55" s="97"/>
      <c r="AH55" s="97"/>
      <c r="AI55" s="97"/>
      <c r="AJ55" s="97"/>
      <c r="AK55" s="162"/>
      <c r="AL55" s="163"/>
      <c r="AM55" s="163"/>
      <c r="AN55" s="163"/>
      <c r="AO55" s="163"/>
      <c r="AP55" s="163"/>
      <c r="AQ55" s="163"/>
      <c r="AR55" s="163"/>
      <c r="AS55" s="163"/>
      <c r="AT55" s="163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7"/>
      <c r="BG55" s="90"/>
      <c r="BH55" s="21"/>
    </row>
    <row r="56" spans="2:60" ht="15.75" customHeight="1" x14ac:dyDescent="0.2">
      <c r="B56" s="21"/>
      <c r="C56" s="129" t="s">
        <v>74</v>
      </c>
      <c r="D56" s="129"/>
      <c r="E56" s="129"/>
      <c r="F56" s="129"/>
      <c r="G56" s="129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21"/>
      <c r="AE56" s="97" t="s">
        <v>56</v>
      </c>
      <c r="AF56" s="97"/>
      <c r="AG56" s="97"/>
      <c r="AH56" s="97"/>
      <c r="AI56" s="97"/>
      <c r="AJ56" s="97"/>
      <c r="AK56" s="148"/>
      <c r="AL56" s="149"/>
      <c r="AM56" s="149"/>
      <c r="AN56" s="149"/>
      <c r="AO56" s="149"/>
      <c r="AP56" s="149"/>
      <c r="AQ56" s="149"/>
      <c r="AR56" s="149"/>
      <c r="AS56" s="149"/>
      <c r="AT56" s="149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1"/>
      <c r="BG56" s="90"/>
      <c r="BH56" s="21"/>
    </row>
    <row r="57" spans="2:60" ht="4.5" customHeight="1" x14ac:dyDescent="0.2">
      <c r="B57" s="21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39"/>
      <c r="BH57" s="21"/>
    </row>
    <row r="58" spans="2:60" ht="15.75" customHeight="1" x14ac:dyDescent="0.2">
      <c r="B58" s="21"/>
      <c r="C58" s="129" t="s">
        <v>75</v>
      </c>
      <c r="D58" s="129"/>
      <c r="E58" s="129"/>
      <c r="F58" s="129"/>
      <c r="G58" s="129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20"/>
      <c r="AE58" s="105" t="s">
        <v>58</v>
      </c>
      <c r="AF58" s="140" t="s">
        <v>60</v>
      </c>
      <c r="AG58" s="141"/>
      <c r="AH58" s="142"/>
      <c r="AI58" s="143"/>
      <c r="AJ58" s="144"/>
      <c r="AK58" s="144"/>
      <c r="AL58" s="144"/>
      <c r="AM58" s="145"/>
      <c r="AN58" s="40"/>
      <c r="AO58" s="152"/>
      <c r="AP58" s="152"/>
      <c r="AQ58" s="152"/>
      <c r="AR58" s="153"/>
      <c r="AS58" s="86" t="s">
        <v>60</v>
      </c>
      <c r="AT58" s="86"/>
      <c r="AU58" s="86"/>
      <c r="AV58" s="86"/>
      <c r="AW58" s="143"/>
      <c r="AX58" s="144"/>
      <c r="AY58" s="144"/>
      <c r="AZ58" s="144"/>
      <c r="BA58" s="145"/>
      <c r="BB58" s="40"/>
      <c r="BC58" s="152"/>
      <c r="BD58" s="152"/>
      <c r="BE58" s="152"/>
      <c r="BF58" s="153"/>
      <c r="BG58" s="90" t="s">
        <v>59</v>
      </c>
      <c r="BH58" s="21"/>
    </row>
    <row r="59" spans="2:60" ht="15.75" customHeight="1" x14ac:dyDescent="0.2">
      <c r="B59" s="21"/>
      <c r="C59" s="129" t="s">
        <v>76</v>
      </c>
      <c r="D59" s="129"/>
      <c r="E59" s="129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20"/>
      <c r="AE59" s="106"/>
      <c r="AF59" s="131" t="s">
        <v>61</v>
      </c>
      <c r="AG59" s="132"/>
      <c r="AH59" s="133"/>
      <c r="AI59" s="134"/>
      <c r="AJ59" s="135"/>
      <c r="AK59" s="135"/>
      <c r="AL59" s="135"/>
      <c r="AM59" s="136"/>
      <c r="AN59" s="41"/>
      <c r="AO59" s="137"/>
      <c r="AP59" s="137"/>
      <c r="AQ59" s="137"/>
      <c r="AR59" s="138"/>
      <c r="AS59" s="86" t="s">
        <v>61</v>
      </c>
      <c r="AT59" s="86"/>
      <c r="AU59" s="86"/>
      <c r="AV59" s="86"/>
      <c r="AW59" s="134"/>
      <c r="AX59" s="135"/>
      <c r="AY59" s="135"/>
      <c r="AZ59" s="135"/>
      <c r="BA59" s="136"/>
      <c r="BB59" s="41"/>
      <c r="BC59" s="137"/>
      <c r="BD59" s="137"/>
      <c r="BE59" s="137"/>
      <c r="BF59" s="138"/>
      <c r="BG59" s="90"/>
      <c r="BH59" s="21"/>
    </row>
    <row r="60" spans="2:60" ht="4.5" customHeight="1" x14ac:dyDescent="0.2">
      <c r="B60" s="21"/>
      <c r="AD60" s="20"/>
      <c r="AE60" s="30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29"/>
      <c r="BH60" s="21"/>
    </row>
    <row r="61" spans="2:60" ht="14.25" customHeight="1" x14ac:dyDescent="0.2">
      <c r="B61" s="21"/>
      <c r="G61" s="2"/>
      <c r="R61" s="2"/>
      <c r="X61" s="112" t="s">
        <v>82</v>
      </c>
      <c r="Y61" s="112"/>
      <c r="Z61" s="112"/>
      <c r="AA61" s="112"/>
      <c r="AB61" s="112"/>
      <c r="AC61" s="112"/>
      <c r="AD61" s="20"/>
      <c r="AE61" s="105" t="s">
        <v>62</v>
      </c>
      <c r="AF61" s="114" t="s">
        <v>21</v>
      </c>
      <c r="AG61" s="115"/>
      <c r="AH61" s="116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86" t="s">
        <v>21</v>
      </c>
      <c r="AT61" s="86"/>
      <c r="AU61" s="86"/>
      <c r="AV61" s="86"/>
      <c r="AW61" s="117"/>
      <c r="AX61" s="118"/>
      <c r="AY61" s="118"/>
      <c r="AZ61" s="118"/>
      <c r="BA61" s="118"/>
      <c r="BB61" s="40"/>
      <c r="BC61" s="119"/>
      <c r="BD61" s="119"/>
      <c r="BE61" s="119"/>
      <c r="BF61" s="120"/>
      <c r="BG61" s="109" t="s">
        <v>63</v>
      </c>
      <c r="BH61" s="21"/>
    </row>
    <row r="62" spans="2:60" ht="14.25" customHeight="1" x14ac:dyDescent="0.2">
      <c r="B62" s="21"/>
      <c r="D62" s="121" t="s">
        <v>21</v>
      </c>
      <c r="E62" s="121"/>
      <c r="F62" s="121"/>
      <c r="O62" s="122" t="s">
        <v>20</v>
      </c>
      <c r="P62" s="122"/>
      <c r="X62" s="97" t="s">
        <v>21</v>
      </c>
      <c r="Y62" s="97"/>
      <c r="Z62" s="97"/>
      <c r="AA62" s="97"/>
      <c r="AB62" s="97"/>
      <c r="AC62" s="97"/>
      <c r="AD62" s="20"/>
      <c r="AE62" s="113"/>
      <c r="AF62" s="123" t="s">
        <v>20</v>
      </c>
      <c r="AG62" s="124"/>
      <c r="AH62" s="125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126" t="s">
        <v>20</v>
      </c>
      <c r="AT62" s="126"/>
      <c r="AU62" s="126"/>
      <c r="AV62" s="126"/>
      <c r="AW62" s="127"/>
      <c r="AX62" s="127"/>
      <c r="AY62" s="127"/>
      <c r="AZ62" s="127"/>
      <c r="BA62" s="127"/>
      <c r="BB62" s="13"/>
      <c r="BC62" s="128"/>
      <c r="BD62" s="128"/>
      <c r="BE62" s="128"/>
      <c r="BF62" s="128"/>
      <c r="BG62" s="110"/>
      <c r="BH62" s="21"/>
    </row>
    <row r="63" spans="2:60" ht="14.25" customHeight="1" x14ac:dyDescent="0.2">
      <c r="B63" s="21"/>
      <c r="X63" s="88" t="s">
        <v>83</v>
      </c>
      <c r="Y63" s="88"/>
      <c r="Z63" s="88"/>
      <c r="AA63" s="88"/>
      <c r="AB63" s="88"/>
      <c r="AC63" s="88"/>
      <c r="AD63" s="20"/>
      <c r="AE63" s="106"/>
      <c r="AF63" s="103" t="s">
        <v>53</v>
      </c>
      <c r="AG63" s="103"/>
      <c r="AH63" s="103"/>
      <c r="AI63" s="103"/>
      <c r="AJ63" s="103"/>
      <c r="AK63" s="103"/>
      <c r="AL63" s="99"/>
      <c r="AM63" s="99"/>
      <c r="AN63" s="99"/>
      <c r="AO63" s="99"/>
      <c r="AP63" s="99"/>
      <c r="AQ63" s="99"/>
      <c r="AR63" s="99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11"/>
      <c r="BH63" s="21"/>
    </row>
    <row r="64" spans="2:60" ht="4.5" customHeight="1" x14ac:dyDescent="0.2">
      <c r="B64" s="21"/>
      <c r="X64" s="88"/>
      <c r="Y64" s="88"/>
      <c r="Z64" s="88"/>
      <c r="AA64" s="88"/>
      <c r="AB64" s="88"/>
      <c r="AC64" s="88"/>
      <c r="AD64" s="20"/>
      <c r="AE64" s="30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0"/>
      <c r="BH64" s="21"/>
    </row>
    <row r="65" spans="2:69" ht="14.25" customHeight="1" x14ac:dyDescent="0.2">
      <c r="B65" s="21"/>
      <c r="X65" s="89" t="s">
        <v>84</v>
      </c>
      <c r="Y65" s="89"/>
      <c r="Z65" s="89"/>
      <c r="AA65" s="89"/>
      <c r="AB65" s="89"/>
      <c r="AC65" s="89"/>
      <c r="AD65" s="20"/>
      <c r="AE65" s="105" t="s">
        <v>64</v>
      </c>
      <c r="AF65" s="107" t="s">
        <v>21</v>
      </c>
      <c r="AG65" s="107"/>
      <c r="AH65" s="107"/>
      <c r="AI65" s="99"/>
      <c r="AJ65" s="99"/>
      <c r="AK65" s="99"/>
      <c r="AL65" s="99"/>
      <c r="AM65" s="99"/>
      <c r="AN65" s="99"/>
      <c r="AO65" s="99"/>
      <c r="AP65" s="99"/>
      <c r="AQ65" s="100" t="s">
        <v>68</v>
      </c>
      <c r="AR65" s="100"/>
      <c r="AS65" s="101" t="s">
        <v>66</v>
      </c>
      <c r="AT65" s="101"/>
      <c r="AU65" s="101"/>
      <c r="AV65" s="101"/>
      <c r="AW65" s="101"/>
      <c r="AX65" s="101"/>
      <c r="AY65" s="108"/>
      <c r="AZ65" s="108"/>
      <c r="BA65" s="108"/>
      <c r="BB65" s="108"/>
      <c r="BC65" s="108"/>
      <c r="BD65" s="108"/>
      <c r="BE65" s="108"/>
      <c r="BF65" s="108"/>
      <c r="BG65" s="90" t="s">
        <v>65</v>
      </c>
      <c r="BH65" s="21"/>
    </row>
    <row r="66" spans="2:69" ht="14.25" customHeight="1" x14ac:dyDescent="0.2">
      <c r="B66" s="21"/>
      <c r="F66" s="5"/>
      <c r="X66" s="97" t="s">
        <v>20</v>
      </c>
      <c r="Y66" s="97"/>
      <c r="Z66" s="97"/>
      <c r="AA66" s="97"/>
      <c r="AB66" s="97"/>
      <c r="AC66" s="97"/>
      <c r="AD66" s="20"/>
      <c r="AE66" s="106"/>
      <c r="AF66" s="98" t="s">
        <v>20</v>
      </c>
      <c r="AG66" s="98"/>
      <c r="AH66" s="98"/>
      <c r="AI66" s="99"/>
      <c r="AJ66" s="99"/>
      <c r="AK66" s="99"/>
      <c r="AL66" s="99"/>
      <c r="AM66" s="99"/>
      <c r="AN66" s="99"/>
      <c r="AO66" s="99"/>
      <c r="AP66" s="99"/>
      <c r="AQ66" s="100" t="s">
        <v>68</v>
      </c>
      <c r="AR66" s="100"/>
      <c r="AS66" s="101" t="s">
        <v>67</v>
      </c>
      <c r="AT66" s="101"/>
      <c r="AU66" s="101"/>
      <c r="AV66" s="101"/>
      <c r="AW66" s="101"/>
      <c r="AX66" s="101"/>
      <c r="AY66" s="102"/>
      <c r="AZ66" s="102"/>
      <c r="BA66" s="102"/>
      <c r="BB66" s="102"/>
      <c r="BC66" s="102"/>
      <c r="BD66" s="102"/>
      <c r="BE66" s="102"/>
      <c r="BF66" s="102"/>
      <c r="BG66" s="90"/>
      <c r="BH66" s="21"/>
      <c r="BQ66" s="42"/>
    </row>
    <row r="67" spans="2:69" ht="4.5" customHeight="1" x14ac:dyDescent="0.2">
      <c r="B67" s="21"/>
      <c r="X67" s="88" t="s">
        <v>83</v>
      </c>
      <c r="Y67" s="88"/>
      <c r="Z67" s="88"/>
      <c r="AA67" s="88"/>
      <c r="AB67" s="88"/>
      <c r="AC67" s="88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0"/>
      <c r="BH67" s="21"/>
    </row>
    <row r="68" spans="2:69" ht="14.25" customHeight="1" x14ac:dyDescent="0.2">
      <c r="B68" s="21"/>
      <c r="X68" s="88"/>
      <c r="Y68" s="88"/>
      <c r="Z68" s="88"/>
      <c r="AA68" s="88"/>
      <c r="AB68" s="88"/>
      <c r="AC68" s="88"/>
      <c r="AD68" s="21"/>
      <c r="AE68" s="43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5"/>
      <c r="BH68" s="21"/>
    </row>
    <row r="69" spans="2:69" ht="14.25" customHeight="1" x14ac:dyDescent="0.2">
      <c r="B69" s="21"/>
      <c r="X69" s="89" t="s">
        <v>84</v>
      </c>
      <c r="Y69" s="89"/>
      <c r="Z69" s="89"/>
      <c r="AA69" s="89"/>
      <c r="AB69" s="89"/>
      <c r="AC69" s="89"/>
      <c r="AD69" s="21"/>
      <c r="AE69" s="46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8"/>
      <c r="BH69" s="21"/>
    </row>
    <row r="70" spans="2:69" ht="4.5" customHeight="1" x14ac:dyDescent="0.2">
      <c r="B70" s="21"/>
      <c r="C70" s="20"/>
      <c r="D70" s="21"/>
      <c r="E70" s="21"/>
      <c r="F70" s="2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1"/>
      <c r="Z70" s="21"/>
      <c r="AA70" s="21"/>
      <c r="AB70" s="21"/>
      <c r="AC70" s="21"/>
      <c r="AD70" s="21"/>
      <c r="AE70" s="46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8"/>
      <c r="BH70" s="21"/>
    </row>
    <row r="71" spans="2:69" ht="15.75" customHeight="1" x14ac:dyDescent="0.2">
      <c r="B71" s="21"/>
      <c r="C71" s="90" t="s">
        <v>79</v>
      </c>
      <c r="D71" s="91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3"/>
      <c r="P71" s="86" t="s">
        <v>21</v>
      </c>
      <c r="Q71" s="86"/>
      <c r="R71" s="86"/>
      <c r="S71" s="86"/>
      <c r="T71" s="87"/>
      <c r="U71" s="87"/>
      <c r="V71" s="87"/>
      <c r="W71" s="87"/>
      <c r="X71" s="87"/>
      <c r="Y71" s="87"/>
      <c r="Z71" s="87"/>
      <c r="AA71" s="87"/>
      <c r="AB71" s="87"/>
      <c r="AC71" s="90" t="s">
        <v>81</v>
      </c>
      <c r="AD71" s="24"/>
      <c r="AE71" s="46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8"/>
      <c r="BH71" s="21"/>
    </row>
    <row r="72" spans="2:69" ht="15.75" customHeight="1" x14ac:dyDescent="0.2">
      <c r="B72" s="21"/>
      <c r="C72" s="90"/>
      <c r="D72" s="94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  <c r="P72" s="86" t="s">
        <v>20</v>
      </c>
      <c r="Q72" s="86"/>
      <c r="R72" s="86"/>
      <c r="S72" s="86"/>
      <c r="T72" s="87"/>
      <c r="U72" s="87"/>
      <c r="V72" s="87"/>
      <c r="W72" s="87"/>
      <c r="X72" s="87"/>
      <c r="Y72" s="87"/>
      <c r="Z72" s="87"/>
      <c r="AA72" s="87"/>
      <c r="AB72" s="87"/>
      <c r="AC72" s="90"/>
      <c r="AD72" s="24"/>
      <c r="AE72" s="74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6"/>
      <c r="BH72" s="21"/>
    </row>
    <row r="73" spans="2:69" ht="15.75" customHeight="1" x14ac:dyDescent="0.2">
      <c r="B73" s="21"/>
      <c r="C73" s="90"/>
      <c r="D73" s="80" t="s">
        <v>80</v>
      </c>
      <c r="E73" s="81"/>
      <c r="F73" s="81"/>
      <c r="G73" s="82"/>
      <c r="H73" s="83"/>
      <c r="I73" s="84"/>
      <c r="J73" s="84"/>
      <c r="K73" s="84"/>
      <c r="L73" s="84"/>
      <c r="M73" s="84"/>
      <c r="N73" s="84"/>
      <c r="O73" s="85"/>
      <c r="P73" s="86" t="s">
        <v>80</v>
      </c>
      <c r="Q73" s="86"/>
      <c r="R73" s="86"/>
      <c r="S73" s="86"/>
      <c r="T73" s="87"/>
      <c r="U73" s="87"/>
      <c r="V73" s="87"/>
      <c r="W73" s="87"/>
      <c r="X73" s="87"/>
      <c r="Y73" s="87"/>
      <c r="Z73" s="87"/>
      <c r="AA73" s="87"/>
      <c r="AB73" s="87"/>
      <c r="AC73" s="90"/>
      <c r="AD73" s="24"/>
      <c r="AE73" s="77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9"/>
      <c r="BH73" s="21"/>
    </row>
    <row r="74" spans="2:69" ht="4.5" customHeight="1" x14ac:dyDescent="0.2">
      <c r="B74" s="21"/>
      <c r="C74" s="20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0"/>
      <c r="BH74" s="21"/>
    </row>
    <row r="75" spans="2:69" ht="20.100000000000001" customHeight="1" x14ac:dyDescent="0.2"/>
    <row r="76" spans="2:69" ht="20.100000000000001" customHeight="1" x14ac:dyDescent="0.2">
      <c r="C76" s="1"/>
    </row>
    <row r="77" spans="2:69" ht="20.100000000000001" customHeight="1" x14ac:dyDescent="0.2"/>
    <row r="78" spans="2:69" ht="20.100000000000001" customHeight="1" x14ac:dyDescent="0.2"/>
  </sheetData>
  <sheetProtection selectLockedCells="1"/>
  <mergeCells count="256">
    <mergeCell ref="AW27:BF27"/>
    <mergeCell ref="BB29:BF29"/>
    <mergeCell ref="AH27:AV27"/>
    <mergeCell ref="AH28:AL28"/>
    <mergeCell ref="AM28:AQ28"/>
    <mergeCell ref="AR28:AV28"/>
    <mergeCell ref="AW28:BA28"/>
    <mergeCell ref="BB28:BF28"/>
    <mergeCell ref="AH29:AL29"/>
    <mergeCell ref="AM29:AQ29"/>
    <mergeCell ref="AR29:AV29"/>
    <mergeCell ref="AW29:BA29"/>
    <mergeCell ref="BG41:BG42"/>
    <mergeCell ref="AH41:BF41"/>
    <mergeCell ref="AH42:BF42"/>
    <mergeCell ref="BG33:BG36"/>
    <mergeCell ref="BB30:BF30"/>
    <mergeCell ref="D30:G30"/>
    <mergeCell ref="D31:J31"/>
    <mergeCell ref="T31:V31"/>
    <mergeCell ref="K31:S31"/>
    <mergeCell ref="AE36:AG36"/>
    <mergeCell ref="AH33:AO34"/>
    <mergeCell ref="AP33:AW34"/>
    <mergeCell ref="AX33:BF34"/>
    <mergeCell ref="AE33:AG34"/>
    <mergeCell ref="AE30:AG30"/>
    <mergeCell ref="AK31:BF31"/>
    <mergeCell ref="H30:M30"/>
    <mergeCell ref="Y30:AC30"/>
    <mergeCell ref="W31:AC31"/>
    <mergeCell ref="BG27:BG31"/>
    <mergeCell ref="AE31:AJ31"/>
    <mergeCell ref="AE35:AG35"/>
    <mergeCell ref="D32:G33"/>
    <mergeCell ref="T32:V33"/>
    <mergeCell ref="AP24:AZ24"/>
    <mergeCell ref="N30:X30"/>
    <mergeCell ref="L24:N24"/>
    <mergeCell ref="V24:X24"/>
    <mergeCell ref="Z24:AC24"/>
    <mergeCell ref="AF24:AN24"/>
    <mergeCell ref="Y27:AC27"/>
    <mergeCell ref="T27:X27"/>
    <mergeCell ref="N27:S27"/>
    <mergeCell ref="P24:T24"/>
    <mergeCell ref="Y28:AC28"/>
    <mergeCell ref="H29:M29"/>
    <mergeCell ref="N29:S29"/>
    <mergeCell ref="T29:X29"/>
    <mergeCell ref="Y29:AC29"/>
    <mergeCell ref="AH30:AL30"/>
    <mergeCell ref="AM30:AQ30"/>
    <mergeCell ref="AR30:AV30"/>
    <mergeCell ref="H28:M28"/>
    <mergeCell ref="N28:S28"/>
    <mergeCell ref="T28:X28"/>
    <mergeCell ref="AW30:BA30"/>
    <mergeCell ref="AE29:AG29"/>
    <mergeCell ref="AE27:AG28"/>
    <mergeCell ref="BG38:BG39"/>
    <mergeCell ref="AT38:BF39"/>
    <mergeCell ref="AH35:AO35"/>
    <mergeCell ref="AP35:AW35"/>
    <mergeCell ref="AX35:BF35"/>
    <mergeCell ref="AH36:AO36"/>
    <mergeCell ref="AP36:AW36"/>
    <mergeCell ref="AX36:BF36"/>
    <mergeCell ref="AI38:AS38"/>
    <mergeCell ref="AI39:AS39"/>
    <mergeCell ref="AF38:AH38"/>
    <mergeCell ref="AF39:AH39"/>
    <mergeCell ref="BG50:BG51"/>
    <mergeCell ref="AE53:AJ53"/>
    <mergeCell ref="AE54:AJ54"/>
    <mergeCell ref="BG53:BG56"/>
    <mergeCell ref="AE44:AG44"/>
    <mergeCell ref="BD44:BF44"/>
    <mergeCell ref="AE47:AG47"/>
    <mergeCell ref="BG44:BG48"/>
    <mergeCell ref="AE50:AM50"/>
    <mergeCell ref="AN50:AV50"/>
    <mergeCell ref="AW50:BF50"/>
    <mergeCell ref="AE56:AJ56"/>
    <mergeCell ref="AU53:BF53"/>
    <mergeCell ref="AK53:AT53"/>
    <mergeCell ref="AU54:BF54"/>
    <mergeCell ref="AK54:AT54"/>
    <mergeCell ref="AK55:AT55"/>
    <mergeCell ref="AU55:BF55"/>
    <mergeCell ref="AK56:AT56"/>
    <mergeCell ref="AU56:BF56"/>
    <mergeCell ref="AH47:BF47"/>
    <mergeCell ref="AE48:BF48"/>
    <mergeCell ref="AN51:AV51"/>
    <mergeCell ref="AW51:BF51"/>
    <mergeCell ref="AW58:BA58"/>
    <mergeCell ref="AW59:BA59"/>
    <mergeCell ref="BC58:BF58"/>
    <mergeCell ref="BC59:BF59"/>
    <mergeCell ref="AI58:AM58"/>
    <mergeCell ref="AO58:AR58"/>
    <mergeCell ref="AO59:AR59"/>
    <mergeCell ref="AI59:AM59"/>
    <mergeCell ref="BG58:BG59"/>
    <mergeCell ref="AS58:AV58"/>
    <mergeCell ref="AS59:AV59"/>
    <mergeCell ref="BG61:BG63"/>
    <mergeCell ref="AS61:AV61"/>
    <mergeCell ref="AS62:AV62"/>
    <mergeCell ref="AI61:AR61"/>
    <mergeCell ref="AI62:AR62"/>
    <mergeCell ref="AL63:AR63"/>
    <mergeCell ref="AS63:BF63"/>
    <mergeCell ref="AW62:BA62"/>
    <mergeCell ref="AW61:BA61"/>
    <mergeCell ref="BC61:BF61"/>
    <mergeCell ref="BC62:BF62"/>
    <mergeCell ref="AF63:AK63"/>
    <mergeCell ref="AF61:AH61"/>
    <mergeCell ref="AF62:AH62"/>
    <mergeCell ref="BG65:BG66"/>
    <mergeCell ref="AE65:AE66"/>
    <mergeCell ref="AS65:AX65"/>
    <mergeCell ref="AS66:AX66"/>
    <mergeCell ref="AQ65:AR65"/>
    <mergeCell ref="AQ66:AR66"/>
    <mergeCell ref="AI65:AP65"/>
    <mergeCell ref="AI66:AP66"/>
    <mergeCell ref="AY65:BF65"/>
    <mergeCell ref="AF65:AH65"/>
    <mergeCell ref="AY66:BF66"/>
    <mergeCell ref="AF66:AH66"/>
    <mergeCell ref="X69:AC69"/>
    <mergeCell ref="X66:AC66"/>
    <mergeCell ref="X67:AC68"/>
    <mergeCell ref="O62:P62"/>
    <mergeCell ref="C48:D48"/>
    <mergeCell ref="C51:F51"/>
    <mergeCell ref="G51:AC51"/>
    <mergeCell ref="C53:F53"/>
    <mergeCell ref="G53:AC53"/>
    <mergeCell ref="C57:AC57"/>
    <mergeCell ref="C55:I55"/>
    <mergeCell ref="J55:AC55"/>
    <mergeCell ref="C56:G56"/>
    <mergeCell ref="H56:AC56"/>
    <mergeCell ref="AE51:AM51"/>
    <mergeCell ref="D62:F62"/>
    <mergeCell ref="AE58:AE59"/>
    <mergeCell ref="H73:O73"/>
    <mergeCell ref="T71:AB71"/>
    <mergeCell ref="T72:AB72"/>
    <mergeCell ref="T73:AB73"/>
    <mergeCell ref="C71:C73"/>
    <mergeCell ref="AC71:AC73"/>
    <mergeCell ref="P71:S71"/>
    <mergeCell ref="P72:S72"/>
    <mergeCell ref="P73:S73"/>
    <mergeCell ref="D73:G73"/>
    <mergeCell ref="D71:O71"/>
    <mergeCell ref="D72:O72"/>
    <mergeCell ref="X61:AC61"/>
    <mergeCell ref="X62:AC62"/>
    <mergeCell ref="X63:AC64"/>
    <mergeCell ref="X65:AC65"/>
    <mergeCell ref="C58:G58"/>
    <mergeCell ref="H58:AC58"/>
    <mergeCell ref="C59:E59"/>
    <mergeCell ref="F59:AC59"/>
    <mergeCell ref="AE61:AE63"/>
    <mergeCell ref="E3:BE3"/>
    <mergeCell ref="I4:BA4"/>
    <mergeCell ref="O19:BF19"/>
    <mergeCell ref="BB12:BF12"/>
    <mergeCell ref="AW13:BF13"/>
    <mergeCell ref="AY14:BF14"/>
    <mergeCell ref="AY15:BF15"/>
    <mergeCell ref="C17:O18"/>
    <mergeCell ref="C15:I15"/>
    <mergeCell ref="C19:N19"/>
    <mergeCell ref="Z15:AB15"/>
    <mergeCell ref="AC15:AO15"/>
    <mergeCell ref="AP12:AV12"/>
    <mergeCell ref="G12:AO12"/>
    <mergeCell ref="J13:AO13"/>
    <mergeCell ref="P14:AO14"/>
    <mergeCell ref="C12:F12"/>
    <mergeCell ref="C13:I13"/>
    <mergeCell ref="C14:O14"/>
    <mergeCell ref="AR6:AY6"/>
    <mergeCell ref="G8:BB9"/>
    <mergeCell ref="AP13:AV13"/>
    <mergeCell ref="AP14:AX14"/>
    <mergeCell ref="AP15:AX15"/>
    <mergeCell ref="K6:S6"/>
    <mergeCell ref="C52:AC52"/>
    <mergeCell ref="C54:I54"/>
    <mergeCell ref="J54:AC54"/>
    <mergeCell ref="H46:AC46"/>
    <mergeCell ref="C44:I44"/>
    <mergeCell ref="J44:AC44"/>
    <mergeCell ref="G41:AC41"/>
    <mergeCell ref="C37:AC37"/>
    <mergeCell ref="I35:W35"/>
    <mergeCell ref="X35:AC35"/>
    <mergeCell ref="C35:H35"/>
    <mergeCell ref="C42:I42"/>
    <mergeCell ref="C36:D36"/>
    <mergeCell ref="C49:AC49"/>
    <mergeCell ref="C10:O11"/>
    <mergeCell ref="E48:AC48"/>
    <mergeCell ref="C27:C33"/>
    <mergeCell ref="D27:G27"/>
    <mergeCell ref="D28:G28"/>
    <mergeCell ref="D29:G29"/>
    <mergeCell ref="H32:S33"/>
    <mergeCell ref="W32:AC33"/>
    <mergeCell ref="J38:AC38"/>
    <mergeCell ref="C38:I38"/>
    <mergeCell ref="C41:F41"/>
    <mergeCell ref="C47:E47"/>
    <mergeCell ref="C20:L20"/>
    <mergeCell ref="C21:J21"/>
    <mergeCell ref="C22:K22"/>
    <mergeCell ref="C40:AC40"/>
    <mergeCell ref="C43:AC43"/>
    <mergeCell ref="C24:K24"/>
    <mergeCell ref="H27:M27"/>
    <mergeCell ref="F47:AC47"/>
    <mergeCell ref="J42:AC42"/>
    <mergeCell ref="E36:AC36"/>
    <mergeCell ref="AQ17:AS17"/>
    <mergeCell ref="AU17:AV17"/>
    <mergeCell ref="AX17:AY17"/>
    <mergeCell ref="AE72:BG73"/>
    <mergeCell ref="C45:G45"/>
    <mergeCell ref="J15:X15"/>
    <mergeCell ref="AE41:AG41"/>
    <mergeCell ref="AE42:AG42"/>
    <mergeCell ref="AF58:AH58"/>
    <mergeCell ref="AF59:AH59"/>
    <mergeCell ref="AE55:AJ55"/>
    <mergeCell ref="H45:AC45"/>
    <mergeCell ref="C46:G46"/>
    <mergeCell ref="M20:BF20"/>
    <mergeCell ref="K21:BF21"/>
    <mergeCell ref="L22:BF22"/>
    <mergeCell ref="C23:BF23"/>
    <mergeCell ref="C25:BF25"/>
    <mergeCell ref="BA24:BF24"/>
    <mergeCell ref="C50:I50"/>
    <mergeCell ref="J50:AC50"/>
    <mergeCell ref="C39:F39"/>
    <mergeCell ref="G39:AC39"/>
    <mergeCell ref="AE38:AE39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B1:BH66"/>
  <sheetViews>
    <sheetView showGridLines="0" tabSelected="1" topLeftCell="A34" zoomScale="145" zoomScaleNormal="145" workbookViewId="0">
      <selection activeCell="AV63" sqref="AV63"/>
    </sheetView>
  </sheetViews>
  <sheetFormatPr defaultColWidth="9.140625" defaultRowHeight="12.75" x14ac:dyDescent="0.2"/>
  <cols>
    <col min="1" max="1" width="0.7109375" style="1" customWidth="1"/>
    <col min="2" max="2" width="1.140625" style="1" customWidth="1"/>
    <col min="3" max="3" width="1.7109375" style="2" customWidth="1"/>
    <col min="4" max="22" width="1.7109375" style="1" customWidth="1"/>
    <col min="23" max="23" width="2.85546875" style="1" customWidth="1"/>
    <col min="24" max="27" width="1.7109375" style="1" customWidth="1"/>
    <col min="28" max="28" width="2.140625" style="1" customWidth="1"/>
    <col min="29" max="29" width="1.7109375" style="1" customWidth="1"/>
    <col min="30" max="30" width="1" style="1" customWidth="1"/>
    <col min="31" max="45" width="1.7109375" style="1" customWidth="1"/>
    <col min="46" max="46" width="1.7109375" style="1" hidden="1" customWidth="1"/>
    <col min="47" max="57" width="1.7109375" style="1" customWidth="1"/>
    <col min="58" max="58" width="1.28515625" style="1" customWidth="1"/>
    <col min="59" max="59" width="1.7109375" style="2" customWidth="1"/>
    <col min="60" max="60" width="1.140625" style="1" customWidth="1"/>
    <col min="61" max="68" width="1.7109375" style="1" customWidth="1"/>
    <col min="69" max="16384" width="9.140625" style="1"/>
  </cols>
  <sheetData>
    <row r="1" spans="2:60" ht="6" customHeight="1" x14ac:dyDescent="0.2"/>
    <row r="2" spans="2:60" ht="4.5" customHeight="1" thickBot="1" x14ac:dyDescent="0.25">
      <c r="B2" s="21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3"/>
      <c r="BH2" s="24"/>
    </row>
    <row r="3" spans="2:60" ht="18" x14ac:dyDescent="0.25">
      <c r="B3" s="21"/>
      <c r="C3" s="337" t="s">
        <v>85</v>
      </c>
      <c r="D3" s="338"/>
      <c r="E3" s="338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9"/>
      <c r="BG3" s="292" t="s">
        <v>93</v>
      </c>
      <c r="BH3" s="24"/>
    </row>
    <row r="4" spans="2:60" ht="15.95" customHeight="1" x14ac:dyDescent="0.2">
      <c r="B4" s="21"/>
      <c r="C4" s="70"/>
      <c r="D4" s="370"/>
      <c r="E4" s="370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2"/>
      <c r="BC4" s="72"/>
      <c r="BD4" s="72"/>
      <c r="BE4" s="72"/>
      <c r="BF4" s="73"/>
      <c r="BG4" s="292"/>
      <c r="BH4" s="24"/>
    </row>
    <row r="5" spans="2:60" ht="15.95" customHeight="1" x14ac:dyDescent="0.2">
      <c r="B5" s="21"/>
      <c r="C5" s="70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3"/>
      <c r="BG5" s="292"/>
      <c r="BH5" s="24"/>
    </row>
    <row r="6" spans="2:60" s="3" customFormat="1" ht="15.95" customHeight="1" x14ac:dyDescent="0.2">
      <c r="B6" s="22"/>
      <c r="C6" s="321" t="s">
        <v>86</v>
      </c>
      <c r="D6" s="322"/>
      <c r="E6" s="322"/>
      <c r="F6" s="322"/>
      <c r="G6" s="322"/>
      <c r="H6" s="322"/>
      <c r="I6" s="322"/>
      <c r="J6" s="322"/>
      <c r="K6" s="322"/>
      <c r="L6" s="367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  <c r="AA6" s="367"/>
      <c r="AB6" s="367"/>
      <c r="AC6" s="367"/>
      <c r="AD6" s="367"/>
      <c r="AE6" s="367"/>
      <c r="AF6" s="367"/>
      <c r="AG6" s="367"/>
      <c r="AH6" s="367"/>
      <c r="AI6" s="367"/>
      <c r="AJ6" s="367"/>
      <c r="AK6" s="367"/>
      <c r="AL6" s="367"/>
      <c r="AM6" s="367"/>
      <c r="AN6" s="367"/>
      <c r="AO6" s="367"/>
      <c r="AP6" s="367"/>
      <c r="AQ6" s="367"/>
      <c r="AR6" s="367"/>
      <c r="AS6" s="367"/>
      <c r="AT6" s="367"/>
      <c r="AU6" s="367"/>
      <c r="AV6" s="367"/>
      <c r="AW6" s="367"/>
      <c r="AX6" s="367"/>
      <c r="AY6" s="367"/>
      <c r="AZ6" s="367"/>
      <c r="BA6" s="367"/>
      <c r="BB6" s="367"/>
      <c r="BC6" s="367"/>
      <c r="BD6" s="367"/>
      <c r="BE6" s="367"/>
      <c r="BF6" s="368"/>
      <c r="BG6" s="292"/>
      <c r="BH6" s="25"/>
    </row>
    <row r="7" spans="2:60" ht="15.95" customHeight="1" x14ac:dyDescent="0.2">
      <c r="B7" s="21"/>
      <c r="C7" s="321" t="s">
        <v>87</v>
      </c>
      <c r="D7" s="322"/>
      <c r="E7" s="322"/>
      <c r="F7" s="322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  <c r="AS7" s="314"/>
      <c r="AT7" s="314"/>
      <c r="AU7" s="314"/>
      <c r="AV7" s="314"/>
      <c r="AW7" s="314"/>
      <c r="AX7" s="314"/>
      <c r="AY7" s="314"/>
      <c r="AZ7" s="314"/>
      <c r="BA7" s="314"/>
      <c r="BB7" s="314"/>
      <c r="BC7" s="314"/>
      <c r="BD7" s="314"/>
      <c r="BE7" s="314"/>
      <c r="BF7" s="315"/>
      <c r="BG7" s="292"/>
      <c r="BH7" s="24"/>
    </row>
    <row r="8" spans="2:60" ht="15.95" customHeight="1" x14ac:dyDescent="0.2">
      <c r="B8" s="21"/>
      <c r="C8" s="321" t="s">
        <v>88</v>
      </c>
      <c r="D8" s="322"/>
      <c r="E8" s="322"/>
      <c r="F8" s="322"/>
      <c r="G8" s="322"/>
      <c r="H8" s="322"/>
      <c r="I8" s="322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  <c r="AE8" s="323"/>
      <c r="AF8" s="323"/>
      <c r="AG8" s="323"/>
      <c r="AH8" s="323"/>
      <c r="AI8" s="323"/>
      <c r="AJ8" s="323"/>
      <c r="AK8" s="323"/>
      <c r="AL8" s="323"/>
      <c r="AM8" s="323"/>
      <c r="AN8" s="323"/>
      <c r="AO8" s="323"/>
      <c r="AP8" s="323"/>
      <c r="AQ8" s="323"/>
      <c r="AR8" s="323"/>
      <c r="AS8" s="323"/>
      <c r="AT8" s="323"/>
      <c r="AU8" s="323"/>
      <c r="AV8" s="323"/>
      <c r="AW8" s="323"/>
      <c r="AX8" s="323"/>
      <c r="AY8" s="323"/>
      <c r="AZ8" s="323"/>
      <c r="BA8" s="323"/>
      <c r="BB8" s="323"/>
      <c r="BC8" s="323"/>
      <c r="BD8" s="323"/>
      <c r="BE8" s="323"/>
      <c r="BF8" s="324"/>
      <c r="BG8" s="292"/>
      <c r="BH8" s="24"/>
    </row>
    <row r="9" spans="2:60" ht="15.95" customHeight="1" x14ac:dyDescent="0.2">
      <c r="B9" s="21"/>
      <c r="C9" s="321" t="s">
        <v>89</v>
      </c>
      <c r="D9" s="322"/>
      <c r="E9" s="322"/>
      <c r="F9" s="322"/>
      <c r="G9" s="322"/>
      <c r="H9" s="322"/>
      <c r="I9" s="322"/>
      <c r="J9" s="32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3"/>
      <c r="BG9" s="292"/>
      <c r="BH9" s="24"/>
    </row>
    <row r="10" spans="2:60" ht="15.95" customHeight="1" x14ac:dyDescent="0.2">
      <c r="B10" s="21"/>
      <c r="C10" s="321" t="s">
        <v>90</v>
      </c>
      <c r="D10" s="322"/>
      <c r="E10" s="322"/>
      <c r="F10" s="322"/>
      <c r="G10" s="322"/>
      <c r="H10" s="322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314"/>
      <c r="BF10" s="315"/>
      <c r="BG10" s="292"/>
      <c r="BH10" s="24"/>
    </row>
    <row r="11" spans="2:60" ht="15.95" customHeight="1" x14ac:dyDescent="0.2">
      <c r="B11" s="21"/>
      <c r="C11" s="321" t="s">
        <v>91</v>
      </c>
      <c r="D11" s="322"/>
      <c r="E11" s="322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14"/>
      <c r="Y11" s="314"/>
      <c r="Z11" s="314"/>
      <c r="AA11" s="314"/>
      <c r="AB11" s="314"/>
      <c r="AC11" s="314"/>
      <c r="AD11" s="314"/>
      <c r="AE11" s="314"/>
      <c r="AF11" s="314"/>
      <c r="AG11" s="314"/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5"/>
      <c r="BG11" s="292"/>
      <c r="BH11" s="24"/>
    </row>
    <row r="12" spans="2:60" ht="15.95" customHeight="1" x14ac:dyDescent="0.2">
      <c r="B12" s="21"/>
      <c r="C12" s="321" t="s">
        <v>92</v>
      </c>
      <c r="D12" s="322"/>
      <c r="E12" s="322"/>
      <c r="F12" s="322"/>
      <c r="G12" s="322"/>
      <c r="H12" s="322"/>
      <c r="I12" s="322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3"/>
      <c r="AU12" s="323"/>
      <c r="AV12" s="323"/>
      <c r="AW12" s="323"/>
      <c r="AX12" s="323"/>
      <c r="AY12" s="323"/>
      <c r="AZ12" s="323"/>
      <c r="BA12" s="323"/>
      <c r="BB12" s="323"/>
      <c r="BC12" s="323"/>
      <c r="BD12" s="323"/>
      <c r="BE12" s="323"/>
      <c r="BF12" s="324"/>
      <c r="BG12" s="292"/>
      <c r="BH12" s="24"/>
    </row>
    <row r="13" spans="2:60" ht="8.25" customHeight="1" thickBot="1" x14ac:dyDescent="0.25">
      <c r="B13" s="21"/>
      <c r="C13" s="325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6"/>
      <c r="AU13" s="326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7"/>
      <c r="BG13" s="292"/>
      <c r="BH13" s="24"/>
    </row>
    <row r="14" spans="2:60" ht="4.5" customHeight="1" thickBot="1" x14ac:dyDescent="0.25">
      <c r="B14" s="21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3"/>
      <c r="BH14" s="24"/>
    </row>
    <row r="15" spans="2:60" ht="15.95" customHeight="1" x14ac:dyDescent="0.2">
      <c r="B15" s="21"/>
      <c r="C15" s="309" t="s">
        <v>96</v>
      </c>
      <c r="D15" s="328" t="s">
        <v>21</v>
      </c>
      <c r="E15" s="329"/>
      <c r="F15" s="293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287"/>
      <c r="BB15" s="287"/>
      <c r="BC15" s="287"/>
      <c r="BD15" s="287"/>
      <c r="BE15" s="287"/>
      <c r="BF15" s="288"/>
      <c r="BG15" s="26"/>
      <c r="BH15" s="24"/>
    </row>
    <row r="16" spans="2:60" ht="15.95" customHeight="1" x14ac:dyDescent="0.2">
      <c r="B16" s="21"/>
      <c r="C16" s="310"/>
      <c r="D16" s="330" t="s">
        <v>20</v>
      </c>
      <c r="E16" s="331"/>
      <c r="F16" s="332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289"/>
      <c r="BG16" s="26"/>
      <c r="BH16" s="24"/>
    </row>
    <row r="17" spans="2:60" ht="15.95" customHeight="1" thickBot="1" x14ac:dyDescent="0.25">
      <c r="B17" s="21"/>
      <c r="C17" s="311"/>
      <c r="D17" s="317" t="s">
        <v>94</v>
      </c>
      <c r="E17" s="318"/>
      <c r="F17" s="319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291"/>
      <c r="BG17" s="26"/>
      <c r="BH17" s="24"/>
    </row>
    <row r="18" spans="2:60" ht="4.5" customHeight="1" thickBot="1" x14ac:dyDescent="0.25">
      <c r="B18" s="21"/>
      <c r="C18" s="50"/>
      <c r="D18" s="51"/>
      <c r="E18" s="51"/>
      <c r="F18" s="51"/>
      <c r="G18" s="51"/>
      <c r="H18" s="51"/>
      <c r="I18" s="5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38"/>
      <c r="Z18" s="51"/>
      <c r="AA18" s="51"/>
      <c r="AB18" s="51"/>
      <c r="AC18" s="51"/>
      <c r="AD18" s="51"/>
      <c r="AE18" s="5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51"/>
      <c r="AQ18" s="51"/>
      <c r="AR18" s="51"/>
      <c r="AS18" s="51"/>
      <c r="AT18" s="51"/>
      <c r="AU18" s="51"/>
      <c r="AV18" s="51"/>
      <c r="AW18" s="51"/>
      <c r="AX18" s="51"/>
      <c r="AY18" s="21"/>
      <c r="AZ18" s="21"/>
      <c r="BA18" s="21"/>
      <c r="BB18" s="21"/>
      <c r="BC18" s="21"/>
      <c r="BD18" s="21"/>
      <c r="BE18" s="21"/>
      <c r="BF18" s="21"/>
      <c r="BG18" s="26"/>
      <c r="BH18" s="24"/>
    </row>
    <row r="19" spans="2:60" ht="15.95" customHeight="1" x14ac:dyDescent="0.2">
      <c r="B19" s="21"/>
      <c r="C19" s="351" t="s">
        <v>95</v>
      </c>
      <c r="D19" s="316"/>
      <c r="E19" s="273"/>
      <c r="F19" s="273"/>
      <c r="G19" s="273" t="s">
        <v>25</v>
      </c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 t="s">
        <v>26</v>
      </c>
      <c r="W19" s="273"/>
      <c r="X19" s="273"/>
      <c r="Y19" s="273"/>
      <c r="Z19" s="273"/>
      <c r="AA19" s="273"/>
      <c r="AB19" s="273"/>
      <c r="AC19" s="273"/>
      <c r="AD19" s="273"/>
      <c r="AE19" s="273"/>
      <c r="AF19" s="273"/>
      <c r="AG19" s="273"/>
      <c r="AH19" s="273"/>
      <c r="AI19" s="273" t="s">
        <v>27</v>
      </c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 t="s">
        <v>28</v>
      </c>
      <c r="AW19" s="273"/>
      <c r="AX19" s="273"/>
      <c r="AY19" s="273"/>
      <c r="AZ19" s="273"/>
      <c r="BA19" s="273"/>
      <c r="BB19" s="273"/>
      <c r="BC19" s="273"/>
      <c r="BD19" s="273"/>
      <c r="BE19" s="273"/>
      <c r="BF19" s="274"/>
      <c r="BG19" s="292" t="s">
        <v>110</v>
      </c>
      <c r="BH19" s="292"/>
    </row>
    <row r="20" spans="2:60" ht="15.95" customHeight="1" x14ac:dyDescent="0.2">
      <c r="B20" s="21"/>
      <c r="C20" s="351"/>
      <c r="D20" s="209" t="s">
        <v>21</v>
      </c>
      <c r="E20" s="97"/>
      <c r="F20" s="9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277"/>
      <c r="AJ20" s="277"/>
      <c r="AK20" s="277"/>
      <c r="AL20" s="277"/>
      <c r="AM20" s="277"/>
      <c r="AN20" s="277"/>
      <c r="AO20" s="277"/>
      <c r="AP20" s="277"/>
      <c r="AQ20" s="277"/>
      <c r="AR20" s="277"/>
      <c r="AS20" s="277"/>
      <c r="AT20" s="277"/>
      <c r="AU20" s="277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278"/>
      <c r="BG20" s="292"/>
      <c r="BH20" s="292"/>
    </row>
    <row r="21" spans="2:60" ht="15.95" customHeight="1" thickBot="1" x14ac:dyDescent="0.25">
      <c r="B21" s="21"/>
      <c r="C21" s="351"/>
      <c r="D21" s="237" t="s">
        <v>20</v>
      </c>
      <c r="E21" s="238"/>
      <c r="F21" s="238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279"/>
      <c r="S21" s="279"/>
      <c r="T21" s="279"/>
      <c r="U21" s="279"/>
      <c r="V21" s="270"/>
      <c r="W21" s="270"/>
      <c r="X21" s="270"/>
      <c r="Y21" s="270"/>
      <c r="Z21" s="270"/>
      <c r="AA21" s="270"/>
      <c r="AB21" s="270"/>
      <c r="AC21" s="270"/>
      <c r="AD21" s="270"/>
      <c r="AE21" s="270"/>
      <c r="AF21" s="270"/>
      <c r="AG21" s="270"/>
      <c r="AH21" s="270"/>
      <c r="AI21" s="279"/>
      <c r="AJ21" s="279"/>
      <c r="AK21" s="279"/>
      <c r="AL21" s="279"/>
      <c r="AM21" s="279"/>
      <c r="AN21" s="279"/>
      <c r="AO21" s="279"/>
      <c r="AP21" s="279"/>
      <c r="AQ21" s="279"/>
      <c r="AR21" s="279"/>
      <c r="AS21" s="279"/>
      <c r="AT21" s="279"/>
      <c r="AU21" s="279"/>
      <c r="AV21" s="270"/>
      <c r="AW21" s="270"/>
      <c r="AX21" s="270"/>
      <c r="AY21" s="270"/>
      <c r="AZ21" s="270"/>
      <c r="BA21" s="270"/>
      <c r="BB21" s="270"/>
      <c r="BC21" s="270"/>
      <c r="BD21" s="270"/>
      <c r="BE21" s="270"/>
      <c r="BF21" s="271"/>
      <c r="BG21" s="292"/>
      <c r="BH21" s="292"/>
    </row>
    <row r="22" spans="2:60" ht="15.95" customHeight="1" x14ac:dyDescent="0.2">
      <c r="B22" s="21"/>
      <c r="C22" s="351"/>
      <c r="D22" s="316"/>
      <c r="E22" s="273"/>
      <c r="F22" s="273"/>
      <c r="G22" s="294" t="s">
        <v>25</v>
      </c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302"/>
      <c r="V22" s="306" t="s">
        <v>26</v>
      </c>
      <c r="W22" s="307"/>
      <c r="X22" s="307"/>
      <c r="Y22" s="307"/>
      <c r="Z22" s="307"/>
      <c r="AA22" s="307"/>
      <c r="AB22" s="307"/>
      <c r="AC22" s="307"/>
      <c r="AD22" s="307"/>
      <c r="AE22" s="307"/>
      <c r="AF22" s="307"/>
      <c r="AG22" s="307"/>
      <c r="AH22" s="308"/>
      <c r="AI22" s="293" t="s">
        <v>27</v>
      </c>
      <c r="AJ22" s="294"/>
      <c r="AK22" s="294"/>
      <c r="AL22" s="294"/>
      <c r="AM22" s="294"/>
      <c r="AN22" s="294"/>
      <c r="AO22" s="294"/>
      <c r="AP22" s="294"/>
      <c r="AQ22" s="294"/>
      <c r="AR22" s="294"/>
      <c r="AS22" s="294"/>
      <c r="AT22" s="294"/>
      <c r="AU22" s="302"/>
      <c r="AV22" s="293" t="s">
        <v>28</v>
      </c>
      <c r="AW22" s="294"/>
      <c r="AX22" s="294"/>
      <c r="AY22" s="294"/>
      <c r="AZ22" s="294"/>
      <c r="BA22" s="294"/>
      <c r="BB22" s="294"/>
      <c r="BC22" s="294"/>
      <c r="BD22" s="294"/>
      <c r="BE22" s="294"/>
      <c r="BF22" s="295"/>
      <c r="BG22" s="292"/>
      <c r="BH22" s="292"/>
    </row>
    <row r="23" spans="2:60" ht="15.95" customHeight="1" x14ac:dyDescent="0.2">
      <c r="B23" s="21"/>
      <c r="C23" s="351"/>
      <c r="D23" s="209" t="s">
        <v>21</v>
      </c>
      <c r="E23" s="97"/>
      <c r="F23" s="97"/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4"/>
      <c r="AV23" s="296"/>
      <c r="AW23" s="297"/>
      <c r="AX23" s="297"/>
      <c r="AY23" s="297"/>
      <c r="AZ23" s="297"/>
      <c r="BA23" s="297"/>
      <c r="BB23" s="297"/>
      <c r="BC23" s="297"/>
      <c r="BD23" s="297"/>
      <c r="BE23" s="297"/>
      <c r="BF23" s="298"/>
      <c r="BG23" s="292"/>
      <c r="BH23" s="292"/>
    </row>
    <row r="24" spans="2:60" ht="15.95" customHeight="1" thickBot="1" x14ac:dyDescent="0.25">
      <c r="B24" s="21"/>
      <c r="C24" s="351"/>
      <c r="D24" s="237" t="s">
        <v>20</v>
      </c>
      <c r="E24" s="238"/>
      <c r="F24" s="238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70"/>
      <c r="W24" s="270"/>
      <c r="X24" s="270"/>
      <c r="Y24" s="270"/>
      <c r="Z24" s="270"/>
      <c r="AA24" s="270"/>
      <c r="AB24" s="270"/>
      <c r="AC24" s="270"/>
      <c r="AD24" s="270"/>
      <c r="AE24" s="270"/>
      <c r="AF24" s="270"/>
      <c r="AG24" s="270"/>
      <c r="AH24" s="27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305"/>
      <c r="AV24" s="299"/>
      <c r="AW24" s="300"/>
      <c r="AX24" s="300"/>
      <c r="AY24" s="300"/>
      <c r="AZ24" s="300"/>
      <c r="BA24" s="300"/>
      <c r="BB24" s="300"/>
      <c r="BC24" s="300"/>
      <c r="BD24" s="300"/>
      <c r="BE24" s="300"/>
      <c r="BF24" s="301"/>
      <c r="BG24" s="292"/>
      <c r="BH24" s="292"/>
    </row>
    <row r="25" spans="2:60" ht="4.5" customHeight="1" thickBot="1" x14ac:dyDescent="0.25">
      <c r="B25" s="21"/>
      <c r="C25" s="50"/>
      <c r="D25" s="51"/>
      <c r="E25" s="51"/>
      <c r="F25" s="51"/>
      <c r="G25" s="51"/>
      <c r="H25" s="51"/>
      <c r="I25" s="51"/>
      <c r="J25" s="51"/>
      <c r="K25" s="5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6"/>
      <c r="BH25" s="24"/>
    </row>
    <row r="26" spans="2:60" ht="15.95" customHeight="1" x14ac:dyDescent="0.2">
      <c r="B26" s="21"/>
      <c r="C26" s="351" t="s">
        <v>97</v>
      </c>
      <c r="D26" s="316"/>
      <c r="E26" s="273"/>
      <c r="F26" s="273"/>
      <c r="G26" s="273" t="s">
        <v>25</v>
      </c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 t="s">
        <v>26</v>
      </c>
      <c r="W26" s="273"/>
      <c r="X26" s="273"/>
      <c r="Y26" s="273"/>
      <c r="Z26" s="273"/>
      <c r="AA26" s="273"/>
      <c r="AB26" s="273"/>
      <c r="AC26" s="273"/>
      <c r="AD26" s="273"/>
      <c r="AE26" s="273"/>
      <c r="AF26" s="273"/>
      <c r="AG26" s="273"/>
      <c r="AH26" s="273"/>
      <c r="AI26" s="273" t="s">
        <v>27</v>
      </c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 t="s">
        <v>117</v>
      </c>
      <c r="AW26" s="273"/>
      <c r="AX26" s="273"/>
      <c r="AY26" s="273"/>
      <c r="AZ26" s="273"/>
      <c r="BA26" s="273" t="s">
        <v>118</v>
      </c>
      <c r="BB26" s="273"/>
      <c r="BC26" s="273"/>
      <c r="BD26" s="273"/>
      <c r="BE26" s="273"/>
      <c r="BF26" s="274"/>
      <c r="BG26" s="26"/>
      <c r="BH26" s="24"/>
    </row>
    <row r="27" spans="2:60" ht="15.95" customHeight="1" x14ac:dyDescent="0.2">
      <c r="B27" s="21"/>
      <c r="C27" s="351"/>
      <c r="D27" s="209" t="s">
        <v>21</v>
      </c>
      <c r="E27" s="97"/>
      <c r="F27" s="9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278"/>
      <c r="BG27" s="26"/>
      <c r="BH27" s="24"/>
    </row>
    <row r="28" spans="2:60" ht="15.95" customHeight="1" thickBot="1" x14ac:dyDescent="0.25">
      <c r="B28" s="21"/>
      <c r="C28" s="351"/>
      <c r="D28" s="237" t="s">
        <v>20</v>
      </c>
      <c r="E28" s="238"/>
      <c r="F28" s="238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0"/>
      <c r="W28" s="270"/>
      <c r="X28" s="270"/>
      <c r="Y28" s="270"/>
      <c r="Z28" s="270"/>
      <c r="AA28" s="270"/>
      <c r="AB28" s="270"/>
      <c r="AC28" s="270"/>
      <c r="AD28" s="270"/>
      <c r="AE28" s="270"/>
      <c r="AF28" s="270"/>
      <c r="AG28" s="270"/>
      <c r="AH28" s="270"/>
      <c r="AI28" s="279"/>
      <c r="AJ28" s="279"/>
      <c r="AK28" s="279"/>
      <c r="AL28" s="279"/>
      <c r="AM28" s="279"/>
      <c r="AN28" s="279"/>
      <c r="AO28" s="279"/>
      <c r="AP28" s="279"/>
      <c r="AQ28" s="279"/>
      <c r="AR28" s="279"/>
      <c r="AS28" s="279"/>
      <c r="AT28" s="279"/>
      <c r="AU28" s="279"/>
      <c r="AV28" s="270"/>
      <c r="AW28" s="270"/>
      <c r="AX28" s="270"/>
      <c r="AY28" s="270"/>
      <c r="AZ28" s="270"/>
      <c r="BA28" s="270"/>
      <c r="BB28" s="270"/>
      <c r="BC28" s="270"/>
      <c r="BD28" s="270"/>
      <c r="BE28" s="270"/>
      <c r="BF28" s="271"/>
      <c r="BG28" s="26"/>
      <c r="BH28" s="24"/>
    </row>
    <row r="29" spans="2:60" ht="15.95" customHeight="1" x14ac:dyDescent="0.2">
      <c r="B29" s="21"/>
      <c r="C29" s="90"/>
      <c r="D29" s="352" t="s">
        <v>22</v>
      </c>
      <c r="E29" s="352"/>
      <c r="F29" s="35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2"/>
      <c r="AE29" s="272"/>
      <c r="AF29" s="272"/>
      <c r="AG29" s="272"/>
      <c r="AH29" s="272"/>
      <c r="AI29" s="272"/>
      <c r="AJ29" s="272"/>
      <c r="AK29" s="272"/>
      <c r="AL29" s="272"/>
      <c r="AM29" s="272"/>
      <c r="AN29" s="272"/>
      <c r="AO29" s="272"/>
      <c r="AP29" s="272"/>
      <c r="AQ29" s="272"/>
      <c r="AR29" s="272"/>
      <c r="AS29" s="272"/>
      <c r="AT29" s="272"/>
      <c r="AU29" s="272"/>
      <c r="AV29" s="272"/>
      <c r="AW29" s="272"/>
      <c r="AX29" s="272"/>
      <c r="AY29" s="272"/>
      <c r="AZ29" s="272"/>
      <c r="BA29" s="272"/>
      <c r="BB29" s="272"/>
      <c r="BC29" s="272"/>
      <c r="BD29" s="272"/>
      <c r="BE29" s="272"/>
      <c r="BF29" s="272"/>
      <c r="BG29" s="26"/>
      <c r="BH29" s="24"/>
    </row>
    <row r="30" spans="2:60" ht="4.5" customHeight="1" thickBot="1" x14ac:dyDescent="0.25">
      <c r="B30" s="21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21"/>
      <c r="O30" s="21"/>
      <c r="P30" s="21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20"/>
      <c r="AE30" s="54"/>
      <c r="AF30" s="54"/>
      <c r="AG30" s="54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26"/>
      <c r="BH30" s="24"/>
    </row>
    <row r="31" spans="2:60" ht="15.95" customHeight="1" x14ac:dyDescent="0.2">
      <c r="B31" s="21"/>
      <c r="C31" s="351" t="s">
        <v>100</v>
      </c>
      <c r="D31" s="316"/>
      <c r="E31" s="273"/>
      <c r="F31" s="273"/>
      <c r="G31" s="273" t="s">
        <v>25</v>
      </c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 t="s">
        <v>26</v>
      </c>
      <c r="W31" s="273"/>
      <c r="X31" s="273"/>
      <c r="Y31" s="273"/>
      <c r="Z31" s="273"/>
      <c r="AA31" s="273"/>
      <c r="AB31" s="273"/>
      <c r="AC31" s="273"/>
      <c r="AD31" s="273"/>
      <c r="AE31" s="273"/>
      <c r="AF31" s="273"/>
      <c r="AG31" s="273"/>
      <c r="AH31" s="273"/>
      <c r="AI31" s="273" t="s">
        <v>27</v>
      </c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 t="s">
        <v>117</v>
      </c>
      <c r="AW31" s="273"/>
      <c r="AX31" s="273"/>
      <c r="AY31" s="273"/>
      <c r="AZ31" s="273"/>
      <c r="BA31" s="273" t="s">
        <v>118</v>
      </c>
      <c r="BB31" s="273"/>
      <c r="BC31" s="273"/>
      <c r="BD31" s="273"/>
      <c r="BE31" s="273"/>
      <c r="BF31" s="274"/>
      <c r="BG31" s="26"/>
      <c r="BH31" s="24"/>
    </row>
    <row r="32" spans="2:60" ht="15.95" customHeight="1" x14ac:dyDescent="0.2">
      <c r="B32" s="21"/>
      <c r="C32" s="351"/>
      <c r="D32" s="209" t="s">
        <v>21</v>
      </c>
      <c r="E32" s="97"/>
      <c r="F32" s="9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277"/>
      <c r="AJ32" s="277"/>
      <c r="AK32" s="277"/>
      <c r="AL32" s="277"/>
      <c r="AM32" s="277"/>
      <c r="AN32" s="277"/>
      <c r="AO32" s="277"/>
      <c r="AP32" s="277"/>
      <c r="AQ32" s="277"/>
      <c r="AR32" s="277"/>
      <c r="AS32" s="277"/>
      <c r="AT32" s="277"/>
      <c r="AU32" s="277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278"/>
      <c r="BG32" s="26"/>
      <c r="BH32" s="24"/>
    </row>
    <row r="33" spans="2:60" ht="15.95" customHeight="1" thickBot="1" x14ac:dyDescent="0.25">
      <c r="B33" s="21"/>
      <c r="C33" s="351"/>
      <c r="D33" s="237" t="s">
        <v>20</v>
      </c>
      <c r="E33" s="238"/>
      <c r="F33" s="238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0"/>
      <c r="W33" s="270"/>
      <c r="X33" s="270"/>
      <c r="Y33" s="270"/>
      <c r="Z33" s="270"/>
      <c r="AA33" s="270"/>
      <c r="AB33" s="270"/>
      <c r="AC33" s="270"/>
      <c r="AD33" s="270"/>
      <c r="AE33" s="270"/>
      <c r="AF33" s="270"/>
      <c r="AG33" s="270"/>
      <c r="AH33" s="270"/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0"/>
      <c r="AW33" s="270"/>
      <c r="AX33" s="270"/>
      <c r="AY33" s="270"/>
      <c r="AZ33" s="270"/>
      <c r="BA33" s="270"/>
      <c r="BB33" s="270"/>
      <c r="BC33" s="270"/>
      <c r="BD33" s="270"/>
      <c r="BE33" s="270"/>
      <c r="BF33" s="271"/>
      <c r="BG33" s="26"/>
      <c r="BH33" s="24"/>
    </row>
    <row r="34" spans="2:60" ht="15.95" customHeight="1" x14ac:dyDescent="0.2">
      <c r="B34" s="21"/>
      <c r="C34" s="90"/>
      <c r="D34" s="353" t="s">
        <v>22</v>
      </c>
      <c r="E34" s="353"/>
      <c r="F34" s="204"/>
      <c r="G34" s="320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2"/>
      <c r="AK34" s="272"/>
      <c r="AL34" s="272"/>
      <c r="AM34" s="272"/>
      <c r="AN34" s="272"/>
      <c r="AO34" s="272"/>
      <c r="AP34" s="272"/>
      <c r="AQ34" s="272"/>
      <c r="AR34" s="272"/>
      <c r="AS34" s="272"/>
      <c r="AT34" s="272"/>
      <c r="AU34" s="272"/>
      <c r="AV34" s="272"/>
      <c r="AW34" s="272"/>
      <c r="AX34" s="272"/>
      <c r="AY34" s="272"/>
      <c r="AZ34" s="272"/>
      <c r="BA34" s="272"/>
      <c r="BB34" s="272"/>
      <c r="BC34" s="272"/>
      <c r="BD34" s="272"/>
      <c r="BE34" s="272"/>
      <c r="BF34" s="272"/>
      <c r="BG34" s="26"/>
      <c r="BH34" s="24"/>
    </row>
    <row r="35" spans="2:60" ht="4.5" customHeight="1" thickBot="1" x14ac:dyDescent="0.25">
      <c r="B35" s="21"/>
      <c r="C35" s="52"/>
      <c r="D35" s="53"/>
      <c r="E35" s="53"/>
      <c r="F35" s="53"/>
      <c r="G35" s="53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3"/>
      <c r="U35" s="53"/>
      <c r="V35" s="53"/>
      <c r="W35" s="55"/>
      <c r="X35" s="55"/>
      <c r="Y35" s="55"/>
      <c r="Z35" s="55"/>
      <c r="AA35" s="55"/>
      <c r="AB35" s="55"/>
      <c r="AC35" s="55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1"/>
      <c r="BG35" s="26"/>
      <c r="BH35" s="24"/>
    </row>
    <row r="36" spans="2:60" ht="15.95" customHeight="1" x14ac:dyDescent="0.2">
      <c r="B36" s="21"/>
      <c r="C36" s="351" t="s">
        <v>101</v>
      </c>
      <c r="D36" s="316"/>
      <c r="E36" s="273"/>
      <c r="F36" s="273"/>
      <c r="G36" s="273" t="s">
        <v>25</v>
      </c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 t="s">
        <v>26</v>
      </c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 t="s">
        <v>27</v>
      </c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 t="s">
        <v>117</v>
      </c>
      <c r="AW36" s="273"/>
      <c r="AX36" s="273"/>
      <c r="AY36" s="273"/>
      <c r="AZ36" s="273"/>
      <c r="BA36" s="273" t="s">
        <v>118</v>
      </c>
      <c r="BB36" s="273"/>
      <c r="BC36" s="273"/>
      <c r="BD36" s="273"/>
      <c r="BE36" s="273"/>
      <c r="BF36" s="274"/>
      <c r="BG36" s="26"/>
      <c r="BH36" s="23"/>
    </row>
    <row r="37" spans="2:60" ht="15.95" customHeight="1" x14ac:dyDescent="0.2">
      <c r="B37" s="21"/>
      <c r="C37" s="351"/>
      <c r="D37" s="209" t="s">
        <v>21</v>
      </c>
      <c r="E37" s="97"/>
      <c r="F37" s="9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277"/>
      <c r="AJ37" s="277"/>
      <c r="AK37" s="277"/>
      <c r="AL37" s="277"/>
      <c r="AM37" s="277"/>
      <c r="AN37" s="277"/>
      <c r="AO37" s="277"/>
      <c r="AP37" s="277"/>
      <c r="AQ37" s="277"/>
      <c r="AR37" s="277"/>
      <c r="AS37" s="277"/>
      <c r="AT37" s="277"/>
      <c r="AU37" s="277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278"/>
      <c r="BG37" s="26"/>
      <c r="BH37" s="24"/>
    </row>
    <row r="38" spans="2:60" ht="15.95" customHeight="1" thickBot="1" x14ac:dyDescent="0.25">
      <c r="B38" s="21"/>
      <c r="C38" s="351"/>
      <c r="D38" s="237" t="s">
        <v>20</v>
      </c>
      <c r="E38" s="238"/>
      <c r="F38" s="238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0"/>
      <c r="W38" s="270"/>
      <c r="X38" s="270"/>
      <c r="Y38" s="270"/>
      <c r="Z38" s="270"/>
      <c r="AA38" s="270"/>
      <c r="AB38" s="270"/>
      <c r="AC38" s="270"/>
      <c r="AD38" s="270"/>
      <c r="AE38" s="270"/>
      <c r="AF38" s="270"/>
      <c r="AG38" s="270"/>
      <c r="AH38" s="270"/>
      <c r="AI38" s="279"/>
      <c r="AJ38" s="279"/>
      <c r="AK38" s="279"/>
      <c r="AL38" s="279"/>
      <c r="AM38" s="279"/>
      <c r="AN38" s="279"/>
      <c r="AO38" s="279"/>
      <c r="AP38" s="279"/>
      <c r="AQ38" s="279"/>
      <c r="AR38" s="279"/>
      <c r="AS38" s="279"/>
      <c r="AT38" s="279"/>
      <c r="AU38" s="279"/>
      <c r="AV38" s="270"/>
      <c r="AW38" s="270"/>
      <c r="AX38" s="270"/>
      <c r="AY38" s="270"/>
      <c r="AZ38" s="270"/>
      <c r="BA38" s="270"/>
      <c r="BB38" s="270"/>
      <c r="BC38" s="270"/>
      <c r="BD38" s="270"/>
      <c r="BE38" s="270"/>
      <c r="BF38" s="271"/>
      <c r="BG38" s="26"/>
      <c r="BH38" s="24"/>
    </row>
    <row r="39" spans="2:60" ht="15.95" customHeight="1" x14ac:dyDescent="0.2">
      <c r="B39" s="21"/>
      <c r="C39" s="90"/>
      <c r="D39" s="352" t="s">
        <v>22</v>
      </c>
      <c r="E39" s="352"/>
      <c r="F39" s="35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  <c r="AA39" s="272"/>
      <c r="AB39" s="272"/>
      <c r="AC39" s="272"/>
      <c r="AD39" s="272"/>
      <c r="AE39" s="272"/>
      <c r="AF39" s="272"/>
      <c r="AG39" s="272"/>
      <c r="AH39" s="272"/>
      <c r="AI39" s="272"/>
      <c r="AJ39" s="272"/>
      <c r="AK39" s="272"/>
      <c r="AL39" s="272"/>
      <c r="AM39" s="272"/>
      <c r="AN39" s="272"/>
      <c r="AO39" s="272"/>
      <c r="AP39" s="272"/>
      <c r="AQ39" s="272"/>
      <c r="AR39" s="272"/>
      <c r="AS39" s="272"/>
      <c r="AT39" s="272"/>
      <c r="AU39" s="272"/>
      <c r="AV39" s="272"/>
      <c r="AW39" s="272"/>
      <c r="AX39" s="272"/>
      <c r="AY39" s="272"/>
      <c r="AZ39" s="272"/>
      <c r="BA39" s="272"/>
      <c r="BB39" s="272"/>
      <c r="BC39" s="272"/>
      <c r="BD39" s="272"/>
      <c r="BE39" s="272"/>
      <c r="BF39" s="272"/>
      <c r="BG39" s="26"/>
      <c r="BH39" s="24"/>
    </row>
    <row r="40" spans="2:60" ht="4.5" customHeight="1" thickBot="1" x14ac:dyDescent="0.25">
      <c r="B40" s="21"/>
      <c r="C40" s="29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27"/>
      <c r="BH40" s="24"/>
    </row>
    <row r="41" spans="2:60" ht="15.95" customHeight="1" x14ac:dyDescent="0.2">
      <c r="B41" s="21"/>
      <c r="C41" s="351" t="s">
        <v>102</v>
      </c>
      <c r="D41" s="316"/>
      <c r="E41" s="273"/>
      <c r="F41" s="273"/>
      <c r="G41" s="273" t="s">
        <v>25</v>
      </c>
      <c r="H41" s="273"/>
      <c r="I41" s="273"/>
      <c r="J41" s="273"/>
      <c r="K41" s="273"/>
      <c r="L41" s="273" t="s">
        <v>26</v>
      </c>
      <c r="M41" s="273"/>
      <c r="N41" s="273"/>
      <c r="O41" s="273"/>
      <c r="P41" s="273"/>
      <c r="Q41" s="273" t="s">
        <v>27</v>
      </c>
      <c r="R41" s="273"/>
      <c r="S41" s="273"/>
      <c r="T41" s="273"/>
      <c r="U41" s="273"/>
      <c r="V41" s="273" t="s">
        <v>98</v>
      </c>
      <c r="W41" s="273"/>
      <c r="X41" s="273"/>
      <c r="Y41" s="273"/>
      <c r="Z41" s="273" t="s">
        <v>99</v>
      </c>
      <c r="AA41" s="273"/>
      <c r="AB41" s="273"/>
      <c r="AC41" s="274"/>
      <c r="AD41" s="21"/>
      <c r="AE41" s="316" t="s">
        <v>103</v>
      </c>
      <c r="AF41" s="273"/>
      <c r="AG41" s="273"/>
      <c r="AH41" s="273"/>
      <c r="AI41" s="273"/>
      <c r="AJ41" s="273"/>
      <c r="AK41" s="273"/>
      <c r="AL41" s="273"/>
      <c r="AM41" s="273"/>
      <c r="AN41" s="273"/>
      <c r="AO41" s="273" t="s">
        <v>24</v>
      </c>
      <c r="AP41" s="273"/>
      <c r="AQ41" s="273"/>
      <c r="AR41" s="273"/>
      <c r="AS41" s="273"/>
      <c r="AT41" s="273"/>
      <c r="AU41" s="273"/>
      <c r="AV41" s="273"/>
      <c r="AW41" s="273"/>
      <c r="AX41" s="273"/>
      <c r="AY41" s="273" t="s">
        <v>29</v>
      </c>
      <c r="AZ41" s="273"/>
      <c r="BA41" s="273"/>
      <c r="BB41" s="273"/>
      <c r="BC41" s="273"/>
      <c r="BD41" s="273"/>
      <c r="BE41" s="273"/>
      <c r="BF41" s="274"/>
      <c r="BG41" s="58"/>
      <c r="BH41" s="24"/>
    </row>
    <row r="42" spans="2:60" ht="15.95" customHeight="1" thickBot="1" x14ac:dyDescent="0.25">
      <c r="B42" s="21"/>
      <c r="C42" s="351"/>
      <c r="D42" s="209" t="s">
        <v>21</v>
      </c>
      <c r="E42" s="97"/>
      <c r="F42" s="9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377"/>
      <c r="AD42" s="21"/>
      <c r="AE42" s="376"/>
      <c r="AF42" s="270"/>
      <c r="AG42" s="270"/>
      <c r="AH42" s="270"/>
      <c r="AI42" s="270"/>
      <c r="AJ42" s="270"/>
      <c r="AK42" s="270"/>
      <c r="AL42" s="270"/>
      <c r="AM42" s="270"/>
      <c r="AN42" s="270"/>
      <c r="AO42" s="270"/>
      <c r="AP42" s="270"/>
      <c r="AQ42" s="270"/>
      <c r="AR42" s="270"/>
      <c r="AS42" s="270"/>
      <c r="AT42" s="270"/>
      <c r="AU42" s="270"/>
      <c r="AV42" s="270"/>
      <c r="AW42" s="270"/>
      <c r="AX42" s="270"/>
      <c r="AY42" s="270"/>
      <c r="AZ42" s="270"/>
      <c r="BA42" s="270"/>
      <c r="BB42" s="270"/>
      <c r="BC42" s="270"/>
      <c r="BD42" s="270"/>
      <c r="BE42" s="270"/>
      <c r="BF42" s="271"/>
      <c r="BG42" s="56"/>
      <c r="BH42" s="24"/>
    </row>
    <row r="43" spans="2:60" ht="15.95" customHeight="1" thickBot="1" x14ac:dyDescent="0.25">
      <c r="B43" s="21"/>
      <c r="C43" s="351"/>
      <c r="D43" s="237" t="s">
        <v>20</v>
      </c>
      <c r="E43" s="238"/>
      <c r="F43" s="238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335"/>
      <c r="AD43" s="21"/>
      <c r="AE43" s="12" t="s">
        <v>104</v>
      </c>
      <c r="AF43" s="6"/>
      <c r="AG43" s="6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75"/>
      <c r="AS43" s="275"/>
      <c r="AT43" s="275"/>
      <c r="AU43" s="275"/>
      <c r="AV43" s="275"/>
      <c r="AW43" s="275"/>
      <c r="AX43" s="275"/>
      <c r="AY43" s="275"/>
      <c r="AZ43" s="275"/>
      <c r="BA43" s="275"/>
      <c r="BB43" s="275"/>
      <c r="BC43" s="275"/>
      <c r="BD43" s="275"/>
      <c r="BE43" s="275"/>
      <c r="BF43" s="275"/>
      <c r="BG43" s="57"/>
      <c r="BH43" s="24"/>
    </row>
    <row r="44" spans="2:60" ht="15.95" customHeight="1" x14ac:dyDescent="0.2">
      <c r="B44" s="21"/>
      <c r="C44" s="90"/>
      <c r="D44" s="352" t="s">
        <v>22</v>
      </c>
      <c r="E44" s="352"/>
      <c r="F44" s="352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350"/>
      <c r="AB44" s="350"/>
      <c r="AC44" s="350"/>
      <c r="AD44" s="21"/>
      <c r="AE44" s="276"/>
      <c r="AF44" s="276"/>
      <c r="AG44" s="276"/>
      <c r="AH44" s="276"/>
      <c r="AI44" s="276"/>
      <c r="AJ44" s="276"/>
      <c r="AK44" s="276"/>
      <c r="AL44" s="276"/>
      <c r="AM44" s="276"/>
      <c r="AN44" s="276"/>
      <c r="AO44" s="276"/>
      <c r="AP44" s="276"/>
      <c r="AQ44" s="276"/>
      <c r="AR44" s="276"/>
      <c r="AS44" s="276"/>
      <c r="AT44" s="276"/>
      <c r="AU44" s="276"/>
      <c r="AV44" s="276"/>
      <c r="AW44" s="276"/>
      <c r="AX44" s="276"/>
      <c r="AY44" s="276"/>
      <c r="AZ44" s="276"/>
      <c r="BA44" s="276"/>
      <c r="BB44" s="276"/>
      <c r="BC44" s="276"/>
      <c r="BD44" s="276"/>
      <c r="BE44" s="276"/>
      <c r="BF44" s="276"/>
      <c r="BG44" s="28"/>
      <c r="BH44" s="24"/>
    </row>
    <row r="45" spans="2:60" ht="4.5" customHeight="1" thickBot="1" x14ac:dyDescent="0.25">
      <c r="B45" s="21"/>
      <c r="C45" s="51"/>
      <c r="D45" s="51"/>
      <c r="E45" s="51"/>
      <c r="F45" s="51"/>
      <c r="G45" s="51"/>
      <c r="H45" s="51"/>
      <c r="I45" s="5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53"/>
      <c r="AF45" s="53"/>
      <c r="AG45" s="53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7"/>
      <c r="BH45" s="24"/>
    </row>
    <row r="46" spans="2:60" ht="15.95" customHeight="1" x14ac:dyDescent="0.2">
      <c r="B46" s="21"/>
      <c r="C46" s="90" t="s">
        <v>105</v>
      </c>
      <c r="D46" s="342" t="s">
        <v>106</v>
      </c>
      <c r="E46" s="343"/>
      <c r="F46" s="316" t="s">
        <v>21</v>
      </c>
      <c r="G46" s="273"/>
      <c r="H46" s="273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359"/>
      <c r="AB46" s="359"/>
      <c r="AC46" s="360"/>
      <c r="AD46" s="21"/>
      <c r="AE46" s="375"/>
      <c r="AF46" s="359"/>
      <c r="AG46" s="359"/>
      <c r="AH46" s="359"/>
      <c r="AI46" s="359"/>
      <c r="AJ46" s="359"/>
      <c r="AK46" s="359"/>
      <c r="AL46" s="359"/>
      <c r="AM46" s="359"/>
      <c r="AN46" s="359"/>
      <c r="AO46" s="359"/>
      <c r="AP46" s="359"/>
      <c r="AQ46" s="359"/>
      <c r="AR46" s="359"/>
      <c r="AS46" s="359"/>
      <c r="AT46" s="359"/>
      <c r="AU46" s="359"/>
      <c r="AV46" s="359"/>
      <c r="AW46" s="359"/>
      <c r="AX46" s="359"/>
      <c r="AY46" s="359"/>
      <c r="AZ46" s="359"/>
      <c r="BA46" s="359"/>
      <c r="BB46" s="359"/>
      <c r="BC46" s="359"/>
      <c r="BD46" s="360"/>
      <c r="BE46" s="361" t="s">
        <v>106</v>
      </c>
      <c r="BF46" s="362"/>
      <c r="BG46" s="292" t="s">
        <v>108</v>
      </c>
      <c r="BH46" s="24"/>
    </row>
    <row r="47" spans="2:60" ht="15.95" customHeight="1" x14ac:dyDescent="0.2">
      <c r="B47" s="21"/>
      <c r="C47" s="90"/>
      <c r="D47" s="342"/>
      <c r="E47" s="343"/>
      <c r="F47" s="209" t="s">
        <v>20</v>
      </c>
      <c r="G47" s="97"/>
      <c r="H47" s="97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  <c r="AA47" s="340"/>
      <c r="AB47" s="340"/>
      <c r="AC47" s="341"/>
      <c r="AD47" s="21"/>
      <c r="AE47" s="339"/>
      <c r="AF47" s="340"/>
      <c r="AG47" s="340"/>
      <c r="AH47" s="340"/>
      <c r="AI47" s="340"/>
      <c r="AJ47" s="340"/>
      <c r="AK47" s="340"/>
      <c r="AL47" s="340"/>
      <c r="AM47" s="340"/>
      <c r="AN47" s="340"/>
      <c r="AO47" s="340"/>
      <c r="AP47" s="340"/>
      <c r="AQ47" s="340"/>
      <c r="AR47" s="340"/>
      <c r="AS47" s="340"/>
      <c r="AT47" s="340"/>
      <c r="AU47" s="340"/>
      <c r="AV47" s="340"/>
      <c r="AW47" s="340"/>
      <c r="AX47" s="340"/>
      <c r="AY47" s="340"/>
      <c r="AZ47" s="340"/>
      <c r="BA47" s="340"/>
      <c r="BB47" s="340"/>
      <c r="BC47" s="340"/>
      <c r="BD47" s="341"/>
      <c r="BE47" s="363"/>
      <c r="BF47" s="364"/>
      <c r="BG47" s="292"/>
      <c r="BH47" s="24"/>
    </row>
    <row r="48" spans="2:60" ht="15.95" customHeight="1" thickBot="1" x14ac:dyDescent="0.25">
      <c r="B48" s="21"/>
      <c r="C48" s="90"/>
      <c r="D48" s="342"/>
      <c r="E48" s="343"/>
      <c r="F48" s="237" t="s">
        <v>94</v>
      </c>
      <c r="G48" s="238"/>
      <c r="H48" s="238"/>
      <c r="I48" s="357"/>
      <c r="J48" s="357"/>
      <c r="K48" s="357"/>
      <c r="L48" s="357"/>
      <c r="M48" s="357"/>
      <c r="N48" s="357"/>
      <c r="O48" s="357"/>
      <c r="P48" s="357"/>
      <c r="Q48" s="357"/>
      <c r="R48" s="357"/>
      <c r="S48" s="357"/>
      <c r="T48" s="357"/>
      <c r="U48" s="357"/>
      <c r="V48" s="357"/>
      <c r="W48" s="357"/>
      <c r="X48" s="357"/>
      <c r="Y48" s="357"/>
      <c r="Z48" s="357"/>
      <c r="AA48" s="357"/>
      <c r="AB48" s="357"/>
      <c r="AC48" s="358"/>
      <c r="AD48" s="21"/>
      <c r="AE48" s="339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1"/>
      <c r="BE48" s="363"/>
      <c r="BF48" s="364"/>
      <c r="BG48" s="292"/>
      <c r="BH48" s="24"/>
    </row>
    <row r="49" spans="2:60" ht="15.95" customHeight="1" x14ac:dyDescent="0.2">
      <c r="B49" s="21"/>
      <c r="C49" s="90"/>
      <c r="D49" s="347" t="s">
        <v>107</v>
      </c>
      <c r="E49" s="347"/>
      <c r="F49" s="316" t="s">
        <v>21</v>
      </c>
      <c r="G49" s="273"/>
      <c r="H49" s="273"/>
      <c r="I49" s="359"/>
      <c r="J49" s="359"/>
      <c r="K49" s="359"/>
      <c r="L49" s="359"/>
      <c r="M49" s="359"/>
      <c r="N49" s="359"/>
      <c r="O49" s="359"/>
      <c r="P49" s="359"/>
      <c r="Q49" s="359"/>
      <c r="R49" s="359"/>
      <c r="S49" s="359"/>
      <c r="T49" s="359"/>
      <c r="U49" s="359"/>
      <c r="V49" s="359"/>
      <c r="W49" s="359"/>
      <c r="X49" s="359"/>
      <c r="Y49" s="359"/>
      <c r="Z49" s="359"/>
      <c r="AA49" s="359"/>
      <c r="AB49" s="359"/>
      <c r="AC49" s="360"/>
      <c r="AD49" s="21"/>
      <c r="AE49" s="339"/>
      <c r="AF49" s="340"/>
      <c r="AG49" s="340"/>
      <c r="AH49" s="340"/>
      <c r="AI49" s="340"/>
      <c r="AJ49" s="340"/>
      <c r="AK49" s="340"/>
      <c r="AL49" s="340"/>
      <c r="AM49" s="340"/>
      <c r="AN49" s="340"/>
      <c r="AO49" s="340"/>
      <c r="AP49" s="340"/>
      <c r="AQ49" s="340"/>
      <c r="AR49" s="340"/>
      <c r="AS49" s="340"/>
      <c r="AT49" s="340"/>
      <c r="AU49" s="340"/>
      <c r="AV49" s="340"/>
      <c r="AW49" s="340"/>
      <c r="AX49" s="340"/>
      <c r="AY49" s="340"/>
      <c r="AZ49" s="340"/>
      <c r="BA49" s="340"/>
      <c r="BB49" s="340"/>
      <c r="BC49" s="340"/>
      <c r="BD49" s="341"/>
      <c r="BE49" s="365" t="s">
        <v>107</v>
      </c>
      <c r="BF49" s="366"/>
      <c r="BG49" s="292"/>
      <c r="BH49" s="24"/>
    </row>
    <row r="50" spans="2:60" ht="15.95" customHeight="1" x14ac:dyDescent="0.2">
      <c r="B50" s="21"/>
      <c r="C50" s="90"/>
      <c r="D50" s="348"/>
      <c r="E50" s="348"/>
      <c r="F50" s="209" t="s">
        <v>20</v>
      </c>
      <c r="G50" s="97"/>
      <c r="H50" s="97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1"/>
      <c r="AD50" s="21"/>
      <c r="AE50" s="339"/>
      <c r="AF50" s="340"/>
      <c r="AG50" s="340"/>
      <c r="AH50" s="340"/>
      <c r="AI50" s="340"/>
      <c r="AJ50" s="340"/>
      <c r="AK50" s="340"/>
      <c r="AL50" s="340"/>
      <c r="AM50" s="340"/>
      <c r="AN50" s="340"/>
      <c r="AO50" s="340"/>
      <c r="AP50" s="340"/>
      <c r="AQ50" s="340"/>
      <c r="AR50" s="340"/>
      <c r="AS50" s="340"/>
      <c r="AT50" s="340"/>
      <c r="AU50" s="340"/>
      <c r="AV50" s="340"/>
      <c r="AW50" s="340"/>
      <c r="AX50" s="340"/>
      <c r="AY50" s="340"/>
      <c r="AZ50" s="340"/>
      <c r="BA50" s="340"/>
      <c r="BB50" s="340"/>
      <c r="BC50" s="340"/>
      <c r="BD50" s="341"/>
      <c r="BE50" s="365"/>
      <c r="BF50" s="366"/>
      <c r="BG50" s="292"/>
      <c r="BH50" s="24"/>
    </row>
    <row r="51" spans="2:60" ht="15.95" customHeight="1" thickBot="1" x14ac:dyDescent="0.25">
      <c r="B51" s="21"/>
      <c r="C51" s="90"/>
      <c r="D51" s="349"/>
      <c r="E51" s="349"/>
      <c r="F51" s="237" t="s">
        <v>94</v>
      </c>
      <c r="G51" s="238"/>
      <c r="H51" s="238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357"/>
      <c r="AB51" s="357"/>
      <c r="AC51" s="358"/>
      <c r="AD51" s="21"/>
      <c r="AE51" s="339"/>
      <c r="AF51" s="340"/>
      <c r="AG51" s="340"/>
      <c r="AH51" s="340"/>
      <c r="AI51" s="340"/>
      <c r="AJ51" s="340"/>
      <c r="AK51" s="340"/>
      <c r="AL51" s="340"/>
      <c r="AM51" s="340"/>
      <c r="AN51" s="340"/>
      <c r="AO51" s="340"/>
      <c r="AP51" s="340"/>
      <c r="AQ51" s="340"/>
      <c r="AR51" s="340"/>
      <c r="AS51" s="340"/>
      <c r="AT51" s="340"/>
      <c r="AU51" s="340"/>
      <c r="AV51" s="340"/>
      <c r="AW51" s="340"/>
      <c r="AX51" s="340"/>
      <c r="AY51" s="340"/>
      <c r="AZ51" s="340"/>
      <c r="BA51" s="340"/>
      <c r="BB51" s="340"/>
      <c r="BC51" s="340"/>
      <c r="BD51" s="341"/>
      <c r="BE51" s="365"/>
      <c r="BF51" s="366"/>
      <c r="BG51" s="292"/>
      <c r="BH51" s="24"/>
    </row>
    <row r="52" spans="2:60" ht="15.95" customHeight="1" x14ac:dyDescent="0.2">
      <c r="B52" s="21"/>
      <c r="C52" s="90"/>
      <c r="D52" s="344" t="s">
        <v>119</v>
      </c>
      <c r="E52" s="344"/>
      <c r="F52" s="316" t="s">
        <v>21</v>
      </c>
      <c r="G52" s="273"/>
      <c r="H52" s="273"/>
      <c r="I52" s="359"/>
      <c r="J52" s="359"/>
      <c r="K52" s="359"/>
      <c r="L52" s="359"/>
      <c r="M52" s="359"/>
      <c r="N52" s="359"/>
      <c r="O52" s="359"/>
      <c r="P52" s="359"/>
      <c r="Q52" s="359"/>
      <c r="R52" s="359"/>
      <c r="S52" s="359"/>
      <c r="T52" s="359"/>
      <c r="U52" s="359"/>
      <c r="V52" s="359"/>
      <c r="W52" s="359"/>
      <c r="X52" s="359"/>
      <c r="Y52" s="359"/>
      <c r="Z52" s="359"/>
      <c r="AA52" s="359"/>
      <c r="AB52" s="359"/>
      <c r="AC52" s="360"/>
      <c r="AD52" s="21"/>
      <c r="AE52" s="339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  <c r="AU52" s="340"/>
      <c r="AV52" s="340"/>
      <c r="AW52" s="340"/>
      <c r="AX52" s="340"/>
      <c r="AY52" s="340"/>
      <c r="AZ52" s="340"/>
      <c r="BA52" s="340"/>
      <c r="BB52" s="340"/>
      <c r="BC52" s="340"/>
      <c r="BD52" s="341"/>
      <c r="BE52" s="371" t="s">
        <v>119</v>
      </c>
      <c r="BF52" s="372"/>
      <c r="BG52" s="292"/>
      <c r="BH52" s="24"/>
    </row>
    <row r="53" spans="2:60" ht="15.95" customHeight="1" x14ac:dyDescent="0.2">
      <c r="B53" s="21"/>
      <c r="C53" s="90"/>
      <c r="D53" s="345"/>
      <c r="E53" s="345"/>
      <c r="F53" s="209" t="s">
        <v>20</v>
      </c>
      <c r="G53" s="97"/>
      <c r="H53" s="9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1"/>
      <c r="AD53" s="21"/>
      <c r="AE53" s="339"/>
      <c r="AF53" s="340"/>
      <c r="AG53" s="340"/>
      <c r="AH53" s="340"/>
      <c r="AI53" s="340"/>
      <c r="AJ53" s="340"/>
      <c r="AK53" s="340"/>
      <c r="AL53" s="340"/>
      <c r="AM53" s="340"/>
      <c r="AN53" s="340"/>
      <c r="AO53" s="340"/>
      <c r="AP53" s="340"/>
      <c r="AQ53" s="340"/>
      <c r="AR53" s="340"/>
      <c r="AS53" s="340"/>
      <c r="AT53" s="340"/>
      <c r="AU53" s="340"/>
      <c r="AV53" s="340"/>
      <c r="AW53" s="340"/>
      <c r="AX53" s="340"/>
      <c r="AY53" s="340"/>
      <c r="AZ53" s="340"/>
      <c r="BA53" s="340"/>
      <c r="BB53" s="340"/>
      <c r="BC53" s="340"/>
      <c r="BD53" s="341"/>
      <c r="BE53" s="371"/>
      <c r="BF53" s="372"/>
      <c r="BG53" s="292"/>
      <c r="BH53" s="24"/>
    </row>
    <row r="54" spans="2:60" ht="15.95" customHeight="1" thickBot="1" x14ac:dyDescent="0.25">
      <c r="B54" s="21"/>
      <c r="C54" s="90"/>
      <c r="D54" s="346"/>
      <c r="E54" s="346"/>
      <c r="F54" s="237" t="s">
        <v>94</v>
      </c>
      <c r="G54" s="238"/>
      <c r="H54" s="238"/>
      <c r="I54" s="357"/>
      <c r="J54" s="357"/>
      <c r="K54" s="357"/>
      <c r="L54" s="357"/>
      <c r="M54" s="357"/>
      <c r="N54" s="357"/>
      <c r="O54" s="357"/>
      <c r="P54" s="357"/>
      <c r="Q54" s="357"/>
      <c r="R54" s="357"/>
      <c r="S54" s="357"/>
      <c r="T54" s="357"/>
      <c r="U54" s="357"/>
      <c r="V54" s="357"/>
      <c r="W54" s="357"/>
      <c r="X54" s="357"/>
      <c r="Y54" s="357"/>
      <c r="Z54" s="357"/>
      <c r="AA54" s="357"/>
      <c r="AB54" s="357"/>
      <c r="AC54" s="358"/>
      <c r="AD54" s="21"/>
      <c r="AE54" s="354"/>
      <c r="AF54" s="355"/>
      <c r="AG54" s="355"/>
      <c r="AH54" s="355"/>
      <c r="AI54" s="355"/>
      <c r="AJ54" s="355"/>
      <c r="AK54" s="355"/>
      <c r="AL54" s="355"/>
      <c r="AM54" s="355"/>
      <c r="AN54" s="355"/>
      <c r="AO54" s="355"/>
      <c r="AP54" s="355"/>
      <c r="AQ54" s="355"/>
      <c r="AR54" s="355"/>
      <c r="AS54" s="355"/>
      <c r="AT54" s="355"/>
      <c r="AU54" s="355"/>
      <c r="AV54" s="355"/>
      <c r="AW54" s="355"/>
      <c r="AX54" s="355"/>
      <c r="AY54" s="355"/>
      <c r="AZ54" s="355"/>
      <c r="BA54" s="355"/>
      <c r="BB54" s="355"/>
      <c r="BC54" s="355"/>
      <c r="BD54" s="356"/>
      <c r="BE54" s="373"/>
      <c r="BF54" s="374"/>
      <c r="BG54" s="292"/>
      <c r="BH54" s="24"/>
    </row>
    <row r="55" spans="2:60" ht="4.5" customHeight="1" thickBot="1" x14ac:dyDescent="0.25">
      <c r="B55" s="21"/>
      <c r="C55" s="51"/>
      <c r="D55" s="51"/>
      <c r="E55" s="51"/>
      <c r="F55" s="5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0"/>
      <c r="BH55" s="21"/>
    </row>
    <row r="56" spans="2:60" x14ac:dyDescent="0.2">
      <c r="B56" s="21"/>
      <c r="C56" s="281" t="s">
        <v>120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  <c r="AM56" s="282"/>
      <c r="AN56" s="282"/>
      <c r="AO56" s="282"/>
      <c r="AP56" s="282"/>
      <c r="AQ56" s="282"/>
      <c r="AR56" s="282"/>
      <c r="AS56" s="282"/>
      <c r="AT56" s="282"/>
      <c r="AU56" s="282"/>
      <c r="AV56" s="282"/>
      <c r="AW56" s="282"/>
      <c r="AX56" s="282"/>
      <c r="AY56" s="282"/>
      <c r="AZ56" s="282"/>
      <c r="BA56" s="282"/>
      <c r="BB56" s="282"/>
      <c r="BC56" s="282"/>
      <c r="BD56" s="282"/>
      <c r="BE56" s="282"/>
      <c r="BF56" s="282"/>
      <c r="BG56" s="283"/>
      <c r="BH56" s="21"/>
    </row>
    <row r="57" spans="2:60" s="2" customFormat="1" ht="9.75" customHeight="1" x14ac:dyDescent="0.2">
      <c r="B57" s="20"/>
      <c r="C57" s="284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5"/>
      <c r="AS57" s="285"/>
      <c r="AT57" s="285"/>
      <c r="AU57" s="285"/>
      <c r="AV57" s="285"/>
      <c r="AW57" s="285"/>
      <c r="AX57" s="285"/>
      <c r="AY57" s="285"/>
      <c r="AZ57" s="285"/>
      <c r="BA57" s="285"/>
      <c r="BB57" s="285"/>
      <c r="BC57" s="285"/>
      <c r="BD57" s="285"/>
      <c r="BE57" s="285"/>
      <c r="BF57" s="285"/>
      <c r="BG57" s="286"/>
      <c r="BH57" s="20"/>
    </row>
    <row r="58" spans="2:60" ht="15.75" customHeight="1" x14ac:dyDescent="0.2">
      <c r="B58" s="21"/>
      <c r="C58" s="284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85"/>
      <c r="AB58" s="285"/>
      <c r="AC58" s="285"/>
      <c r="AD58" s="285"/>
      <c r="AE58" s="285"/>
      <c r="AF58" s="285"/>
      <c r="AG58" s="285"/>
      <c r="AH58" s="285"/>
      <c r="AI58" s="285"/>
      <c r="AJ58" s="285"/>
      <c r="AK58" s="285"/>
      <c r="AL58" s="285"/>
      <c r="AM58" s="285"/>
      <c r="AN58" s="285"/>
      <c r="AO58" s="285"/>
      <c r="AP58" s="285"/>
      <c r="AQ58" s="285"/>
      <c r="AR58" s="285"/>
      <c r="AS58" s="285"/>
      <c r="AT58" s="285"/>
      <c r="AU58" s="285"/>
      <c r="AV58" s="285"/>
      <c r="AW58" s="285"/>
      <c r="AX58" s="285"/>
      <c r="AY58" s="285"/>
      <c r="AZ58" s="285"/>
      <c r="BA58" s="285"/>
      <c r="BB58" s="285"/>
      <c r="BC58" s="285"/>
      <c r="BD58" s="285"/>
      <c r="BE58" s="285"/>
      <c r="BF58" s="285"/>
      <c r="BG58" s="286"/>
      <c r="BH58" s="21"/>
    </row>
    <row r="59" spans="2:60" ht="14.25" customHeight="1" x14ac:dyDescent="0.2">
      <c r="B59" s="21"/>
      <c r="C59" s="60"/>
      <c r="D59" s="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  <c r="AA59" s="272"/>
      <c r="AE59" s="4"/>
      <c r="AF59" s="4"/>
      <c r="AG59" s="272"/>
      <c r="AH59" s="272"/>
      <c r="AI59" s="272"/>
      <c r="AJ59" s="272"/>
      <c r="AK59" s="272"/>
      <c r="AL59" s="272"/>
      <c r="AM59" s="272"/>
      <c r="AN59" s="272"/>
      <c r="AO59" s="272"/>
      <c r="AP59" s="272"/>
      <c r="AQ59" s="272"/>
      <c r="AR59" s="272"/>
      <c r="AS59" s="272"/>
      <c r="AT59" s="272"/>
      <c r="AU59" s="272"/>
      <c r="AV59" s="272"/>
      <c r="AW59" s="272"/>
      <c r="AX59" s="272"/>
      <c r="AY59" s="272"/>
      <c r="AZ59" s="272"/>
      <c r="BA59" s="272"/>
      <c r="BB59" s="272"/>
      <c r="BC59" s="272"/>
      <c r="BD59" s="272"/>
      <c r="BG59" s="61"/>
      <c r="BH59" s="21"/>
    </row>
    <row r="60" spans="2:60" ht="14.25" customHeight="1" x14ac:dyDescent="0.2">
      <c r="B60" s="21"/>
      <c r="C60" s="60"/>
      <c r="D60" s="2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  <c r="AA60" s="333"/>
      <c r="AD60" s="2"/>
      <c r="AE60" s="62"/>
      <c r="AF60" s="4"/>
      <c r="AG60" s="276"/>
      <c r="AH60" s="276"/>
      <c r="AI60" s="276"/>
      <c r="AJ60" s="276"/>
      <c r="AK60" s="276"/>
      <c r="AL60" s="276"/>
      <c r="AM60" s="276"/>
      <c r="AN60" s="276"/>
      <c r="AO60" s="276"/>
      <c r="AP60" s="276"/>
      <c r="AQ60" s="276"/>
      <c r="AR60" s="276"/>
      <c r="AS60" s="276"/>
      <c r="AT60" s="276"/>
      <c r="AU60" s="276"/>
      <c r="AV60" s="276"/>
      <c r="AW60" s="276"/>
      <c r="AX60" s="276"/>
      <c r="AY60" s="276"/>
      <c r="AZ60" s="276"/>
      <c r="BA60" s="276"/>
      <c r="BB60" s="276"/>
      <c r="BC60" s="276"/>
      <c r="BD60" s="276"/>
      <c r="BG60" s="61"/>
      <c r="BH60" s="21"/>
    </row>
    <row r="61" spans="2:60" ht="13.5" thickBot="1" x14ac:dyDescent="0.25">
      <c r="B61" s="21"/>
      <c r="C61" s="63"/>
      <c r="D61" s="64"/>
      <c r="E61" s="334" t="s">
        <v>116</v>
      </c>
      <c r="F61" s="334"/>
      <c r="G61" s="334"/>
      <c r="H61" s="334"/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/>
      <c r="X61" s="334"/>
      <c r="Y61" s="334"/>
      <c r="Z61" s="334"/>
      <c r="AA61" s="334"/>
      <c r="AB61" s="65"/>
      <c r="AC61" s="65"/>
      <c r="AD61" s="65"/>
      <c r="AE61" s="66"/>
      <c r="AF61" s="66"/>
      <c r="AG61" s="334" t="s">
        <v>109</v>
      </c>
      <c r="AH61" s="334"/>
      <c r="AI61" s="334"/>
      <c r="AJ61" s="334"/>
      <c r="AK61" s="334"/>
      <c r="AL61" s="334"/>
      <c r="AM61" s="334"/>
      <c r="AN61" s="334"/>
      <c r="AO61" s="334"/>
      <c r="AP61" s="334"/>
      <c r="AQ61" s="334"/>
      <c r="AR61" s="334"/>
      <c r="AS61" s="334"/>
      <c r="AT61" s="334"/>
      <c r="AU61" s="334"/>
      <c r="AV61" s="334"/>
      <c r="AW61" s="334"/>
      <c r="AX61" s="334"/>
      <c r="AY61" s="334"/>
      <c r="AZ61" s="334"/>
      <c r="BA61" s="334"/>
      <c r="BB61" s="334"/>
      <c r="BC61" s="334"/>
      <c r="BD61" s="334"/>
      <c r="BE61" s="65"/>
      <c r="BF61" s="65"/>
      <c r="BG61" s="67"/>
      <c r="BH61" s="21"/>
    </row>
    <row r="62" spans="2:60" ht="4.5" customHeight="1" x14ac:dyDescent="0.2">
      <c r="B62" s="21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0"/>
      <c r="BH62" s="21"/>
    </row>
    <row r="63" spans="2:60" ht="20.100000000000001" customHeight="1" x14ac:dyDescent="0.2"/>
    <row r="64" spans="2:60" ht="20.100000000000001" customHeight="1" x14ac:dyDescent="0.2">
      <c r="C64" s="1"/>
    </row>
    <row r="65" ht="20.100000000000001" customHeight="1" x14ac:dyDescent="0.2"/>
    <row r="66" ht="20.100000000000001" customHeight="1" x14ac:dyDescent="0.2"/>
  </sheetData>
  <sheetProtection selectLockedCells="1"/>
  <mergeCells count="193">
    <mergeCell ref="AE41:AN41"/>
    <mergeCell ref="AO41:AX41"/>
    <mergeCell ref="AE42:AN42"/>
    <mergeCell ref="AO42:AX42"/>
    <mergeCell ref="V42:Y42"/>
    <mergeCell ref="Z42:AC42"/>
    <mergeCell ref="D43:F43"/>
    <mergeCell ref="G43:K43"/>
    <mergeCell ref="L43:P43"/>
    <mergeCell ref="Q43:U43"/>
    <mergeCell ref="BE46:BF48"/>
    <mergeCell ref="BE49:BF51"/>
    <mergeCell ref="E59:AA59"/>
    <mergeCell ref="AG59:BD59"/>
    <mergeCell ref="G7:BF7"/>
    <mergeCell ref="J8:BF8"/>
    <mergeCell ref="L6:BF6"/>
    <mergeCell ref="D5:AE5"/>
    <mergeCell ref="D4:AE4"/>
    <mergeCell ref="BE52:BF54"/>
    <mergeCell ref="AE46:BD46"/>
    <mergeCell ref="AE47:BD47"/>
    <mergeCell ref="AE48:BD48"/>
    <mergeCell ref="F46:H46"/>
    <mergeCell ref="F47:H47"/>
    <mergeCell ref="F48:H48"/>
    <mergeCell ref="F49:H49"/>
    <mergeCell ref="F50:H50"/>
    <mergeCell ref="I46:AC46"/>
    <mergeCell ref="I47:AC47"/>
    <mergeCell ref="I48:AC48"/>
    <mergeCell ref="I49:AC49"/>
    <mergeCell ref="D44:F44"/>
    <mergeCell ref="C9:J9"/>
    <mergeCell ref="AE50:BD50"/>
    <mergeCell ref="AE51:BD51"/>
    <mergeCell ref="AE52:BD52"/>
    <mergeCell ref="AE53:BD53"/>
    <mergeCell ref="AE54:BD54"/>
    <mergeCell ref="I51:AC51"/>
    <mergeCell ref="I52:AC52"/>
    <mergeCell ref="I53:AC53"/>
    <mergeCell ref="I54:AC54"/>
    <mergeCell ref="C36:C39"/>
    <mergeCell ref="D41:F41"/>
    <mergeCell ref="G41:K41"/>
    <mergeCell ref="L41:P41"/>
    <mergeCell ref="Q41:U41"/>
    <mergeCell ref="V41:Y41"/>
    <mergeCell ref="Z41:AC41"/>
    <mergeCell ref="D39:F39"/>
    <mergeCell ref="D38:F38"/>
    <mergeCell ref="C41:C44"/>
    <mergeCell ref="C19:C24"/>
    <mergeCell ref="D23:F23"/>
    <mergeCell ref="D24:F24"/>
    <mergeCell ref="D27:F27"/>
    <mergeCell ref="D28:F28"/>
    <mergeCell ref="D29:F29"/>
    <mergeCell ref="D26:F26"/>
    <mergeCell ref="C26:C29"/>
    <mergeCell ref="D31:F31"/>
    <mergeCell ref="C31:C34"/>
    <mergeCell ref="D34:F34"/>
    <mergeCell ref="D33:F33"/>
    <mergeCell ref="D32:F32"/>
    <mergeCell ref="C46:C54"/>
    <mergeCell ref="D46:E48"/>
    <mergeCell ref="F53:H53"/>
    <mergeCell ref="D52:E54"/>
    <mergeCell ref="F51:H51"/>
    <mergeCell ref="F52:H52"/>
    <mergeCell ref="D49:E51"/>
    <mergeCell ref="I50:AC50"/>
    <mergeCell ref="G44:AC44"/>
    <mergeCell ref="AI38:AU38"/>
    <mergeCell ref="BG3:BG13"/>
    <mergeCell ref="D15:F15"/>
    <mergeCell ref="D16:F16"/>
    <mergeCell ref="AG60:BD60"/>
    <mergeCell ref="E60:AA60"/>
    <mergeCell ref="E61:AA61"/>
    <mergeCell ref="AG61:BD61"/>
    <mergeCell ref="F54:H54"/>
    <mergeCell ref="D36:F36"/>
    <mergeCell ref="D42:F42"/>
    <mergeCell ref="G42:K42"/>
    <mergeCell ref="L42:P42"/>
    <mergeCell ref="Q42:U42"/>
    <mergeCell ref="D37:F37"/>
    <mergeCell ref="V43:Y43"/>
    <mergeCell ref="Z43:AC43"/>
    <mergeCell ref="F3:AE3"/>
    <mergeCell ref="C6:K6"/>
    <mergeCell ref="C3:E3"/>
    <mergeCell ref="C7:F7"/>
    <mergeCell ref="C8:I8"/>
    <mergeCell ref="BG46:BG54"/>
    <mergeCell ref="AE49:BD49"/>
    <mergeCell ref="K9:BF9"/>
    <mergeCell ref="I10:BF10"/>
    <mergeCell ref="D22:F22"/>
    <mergeCell ref="D20:F20"/>
    <mergeCell ref="D21:F21"/>
    <mergeCell ref="D19:F19"/>
    <mergeCell ref="D17:F17"/>
    <mergeCell ref="G34:BF34"/>
    <mergeCell ref="G36:U36"/>
    <mergeCell ref="V36:AH36"/>
    <mergeCell ref="AI36:AU36"/>
    <mergeCell ref="AV36:AZ36"/>
    <mergeCell ref="BA36:BF36"/>
    <mergeCell ref="C10:H10"/>
    <mergeCell ref="C11:E11"/>
    <mergeCell ref="C12:I12"/>
    <mergeCell ref="F11:BF11"/>
    <mergeCell ref="J12:BF12"/>
    <mergeCell ref="C13:BF13"/>
    <mergeCell ref="G19:U19"/>
    <mergeCell ref="G20:U20"/>
    <mergeCell ref="G21:U21"/>
    <mergeCell ref="G22:U22"/>
    <mergeCell ref="G23:U23"/>
    <mergeCell ref="C56:BG58"/>
    <mergeCell ref="G15:BF15"/>
    <mergeCell ref="G16:BF16"/>
    <mergeCell ref="G17:BF17"/>
    <mergeCell ref="BG19:BH24"/>
    <mergeCell ref="AV19:BF19"/>
    <mergeCell ref="AV20:BF20"/>
    <mergeCell ref="AV21:BF21"/>
    <mergeCell ref="AV22:BF22"/>
    <mergeCell ref="AV23:BF23"/>
    <mergeCell ref="AV24:BF24"/>
    <mergeCell ref="AI19:AU19"/>
    <mergeCell ref="AI20:AU20"/>
    <mergeCell ref="AI21:AU21"/>
    <mergeCell ref="AI22:AU22"/>
    <mergeCell ref="AI23:AU23"/>
    <mergeCell ref="AI24:AU24"/>
    <mergeCell ref="V19:AH19"/>
    <mergeCell ref="V20:AH20"/>
    <mergeCell ref="V21:AH21"/>
    <mergeCell ref="V22:AH22"/>
    <mergeCell ref="V23:AH23"/>
    <mergeCell ref="V24:AH24"/>
    <mergeCell ref="C15:C17"/>
    <mergeCell ref="G24:U24"/>
    <mergeCell ref="G26:U26"/>
    <mergeCell ref="V26:AH26"/>
    <mergeCell ref="AI26:AU26"/>
    <mergeCell ref="G29:BF29"/>
    <mergeCell ref="AV26:AZ26"/>
    <mergeCell ref="BA26:BF26"/>
    <mergeCell ref="AV27:AZ27"/>
    <mergeCell ref="BA27:BF27"/>
    <mergeCell ref="AV28:AZ28"/>
    <mergeCell ref="BA28:BF28"/>
    <mergeCell ref="G31:U31"/>
    <mergeCell ref="V31:AH31"/>
    <mergeCell ref="AI31:AU31"/>
    <mergeCell ref="AV31:AZ31"/>
    <mergeCell ref="BA31:BF31"/>
    <mergeCell ref="G27:U27"/>
    <mergeCell ref="V27:AH27"/>
    <mergeCell ref="AI27:AU27"/>
    <mergeCell ref="G28:U28"/>
    <mergeCell ref="V28:AH28"/>
    <mergeCell ref="AI28:AU28"/>
    <mergeCell ref="AV38:AZ38"/>
    <mergeCell ref="BA38:BF38"/>
    <mergeCell ref="G39:BF39"/>
    <mergeCell ref="AY41:BF41"/>
    <mergeCell ref="AY42:BF42"/>
    <mergeCell ref="AH43:BF43"/>
    <mergeCell ref="AE44:BF44"/>
    <mergeCell ref="G32:U32"/>
    <mergeCell ref="V32:AH32"/>
    <mergeCell ref="AI32:AU32"/>
    <mergeCell ref="AV32:AZ32"/>
    <mergeCell ref="BA32:BF32"/>
    <mergeCell ref="G33:U33"/>
    <mergeCell ref="V33:AH33"/>
    <mergeCell ref="AI33:AU33"/>
    <mergeCell ref="AV33:AZ33"/>
    <mergeCell ref="BA33:BF33"/>
    <mergeCell ref="G37:U37"/>
    <mergeCell ref="V37:AH37"/>
    <mergeCell ref="AI37:AU37"/>
    <mergeCell ref="AV37:AZ37"/>
    <mergeCell ref="BA37:BF37"/>
    <mergeCell ref="G38:U38"/>
    <mergeCell ref="V38:AH38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49"/>
  <sheetViews>
    <sheetView topLeftCell="A16" workbookViewId="0">
      <selection activeCell="AM7" sqref="AM7"/>
    </sheetView>
  </sheetViews>
  <sheetFormatPr defaultColWidth="2.42578125" defaultRowHeight="15" x14ac:dyDescent="0.25"/>
  <cols>
    <col min="1" max="1" width="3.42578125" style="17" customWidth="1"/>
    <col min="2" max="4" width="2.42578125" style="17"/>
    <col min="5" max="5" width="3.140625" style="17" customWidth="1"/>
    <col min="6" max="13" width="2.42578125" style="17"/>
    <col min="14" max="14" width="2.42578125" style="17" customWidth="1"/>
    <col min="15" max="23" width="2.42578125" style="17"/>
    <col min="24" max="24" width="2.42578125" style="17" customWidth="1"/>
    <col min="25" max="35" width="2.42578125" style="17"/>
    <col min="36" max="37" width="2.42578125" style="17" customWidth="1"/>
    <col min="38" max="16384" width="2.42578125" style="17"/>
  </cols>
  <sheetData>
    <row r="1" spans="1:54" x14ac:dyDescent="0.25">
      <c r="A1" s="383" t="s">
        <v>137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384"/>
      <c r="AC1" s="384"/>
      <c r="AD1" s="384"/>
      <c r="AE1" s="384"/>
      <c r="AF1" s="384"/>
      <c r="AG1" s="384"/>
      <c r="AH1" s="384"/>
      <c r="AI1" s="384"/>
      <c r="AJ1" s="384"/>
      <c r="AK1" s="385"/>
    </row>
    <row r="2" spans="1:54" x14ac:dyDescent="0.25">
      <c r="A2" s="386"/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7"/>
      <c r="AI2" s="387"/>
      <c r="AJ2" s="387"/>
      <c r="AK2" s="388"/>
    </row>
    <row r="3" spans="1:54" x14ac:dyDescent="0.25">
      <c r="A3" s="386"/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8"/>
    </row>
    <row r="4" spans="1:54" ht="14.45" customHeight="1" x14ac:dyDescent="0.25">
      <c r="A4" s="393" t="s">
        <v>137</v>
      </c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4"/>
      <c r="Z4" s="394"/>
      <c r="AA4" s="394"/>
      <c r="AB4" s="394"/>
      <c r="AC4" s="394"/>
      <c r="AD4" s="394"/>
      <c r="AE4" s="394"/>
      <c r="AF4" s="394"/>
      <c r="AG4" s="389"/>
      <c r="AH4" s="389"/>
      <c r="AI4" s="389"/>
      <c r="AJ4" s="389"/>
      <c r="AK4" s="390"/>
    </row>
    <row r="5" spans="1:54" ht="14.45" customHeight="1" x14ac:dyDescent="0.25">
      <c r="A5" s="393"/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89"/>
      <c r="AH5" s="389"/>
      <c r="AI5" s="389"/>
      <c r="AJ5" s="389"/>
      <c r="AK5" s="390"/>
    </row>
    <row r="6" spans="1:54" ht="14.45" customHeight="1" thickBot="1" x14ac:dyDescent="0.3">
      <c r="A6" s="395"/>
      <c r="B6" s="396"/>
      <c r="C6" s="396"/>
      <c r="D6" s="396"/>
      <c r="E6" s="396"/>
      <c r="F6" s="396"/>
      <c r="G6" s="396"/>
      <c r="H6" s="396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  <c r="AA6" s="396"/>
      <c r="AB6" s="396"/>
      <c r="AC6" s="396"/>
      <c r="AD6" s="396"/>
      <c r="AE6" s="396"/>
      <c r="AF6" s="396"/>
      <c r="AG6" s="391"/>
      <c r="AH6" s="391"/>
      <c r="AI6" s="391"/>
      <c r="AJ6" s="391"/>
      <c r="AK6" s="392"/>
    </row>
    <row r="7" spans="1:54" ht="14.45" customHeight="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54" ht="14.4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54" ht="14.4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54" s="19" customFormat="1" ht="15.75" x14ac:dyDescent="0.25">
      <c r="A10" s="19" t="s">
        <v>124</v>
      </c>
      <c r="B10" s="380">
        <f>Frente!$G$12</f>
        <v>0</v>
      </c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</row>
    <row r="11" spans="1:54" s="19" customFormat="1" ht="15.75" x14ac:dyDescent="0.25">
      <c r="A11" s="19" t="s">
        <v>125</v>
      </c>
      <c r="G11" s="378">
        <f>Frente!$J$15</f>
        <v>0</v>
      </c>
      <c r="H11" s="378"/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19" t="s">
        <v>121</v>
      </c>
      <c r="V11" s="378">
        <f>Frente!$AC$15</f>
        <v>0</v>
      </c>
      <c r="W11" s="378"/>
      <c r="X11" s="378"/>
      <c r="Y11" s="378"/>
      <c r="Z11" s="378"/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</row>
    <row r="12" spans="1:54" s="19" customFormat="1" ht="15.75" x14ac:dyDescent="0.25">
      <c r="A12" s="19" t="s">
        <v>126</v>
      </c>
      <c r="E12" s="379">
        <f ca="1">TODAY()</f>
        <v>46134</v>
      </c>
      <c r="F12" s="380"/>
      <c r="G12" s="380"/>
      <c r="H12" s="380"/>
      <c r="I12" s="380"/>
      <c r="J12" s="380"/>
      <c r="K12" s="380"/>
      <c r="L12" s="380"/>
      <c r="M12" s="380"/>
      <c r="N12" s="19" t="s">
        <v>127</v>
      </c>
      <c r="O12" s="19" t="s">
        <v>128</v>
      </c>
      <c r="BB12" s="19" t="s">
        <v>137</v>
      </c>
    </row>
    <row r="13" spans="1:54" s="19" customFormat="1" ht="15.75" x14ac:dyDescent="0.25">
      <c r="A13" s="19" t="s">
        <v>129</v>
      </c>
      <c r="AA13" s="19" t="s">
        <v>138</v>
      </c>
    </row>
    <row r="14" spans="1:54" s="19" customFormat="1" ht="15.75" x14ac:dyDescent="0.25">
      <c r="A14" s="19" t="s">
        <v>131</v>
      </c>
    </row>
    <row r="15" spans="1:54" s="19" customFormat="1" ht="15.75" x14ac:dyDescent="0.25">
      <c r="A15" s="19" t="s">
        <v>130</v>
      </c>
    </row>
    <row r="16" spans="1:54" s="19" customFormat="1" ht="15.75" x14ac:dyDescent="0.25"/>
    <row r="17" spans="1:37" s="19" customFormat="1" ht="15.75" x14ac:dyDescent="0.25"/>
    <row r="18" spans="1:37" s="19" customFormat="1" ht="15.75" x14ac:dyDescent="0.25"/>
    <row r="19" spans="1:37" s="19" customFormat="1" ht="15.75" x14ac:dyDescent="0.25">
      <c r="A19" s="38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</row>
    <row r="20" spans="1:37" ht="15.75" x14ac:dyDescent="0.25">
      <c r="A20" s="382" t="s">
        <v>132</v>
      </c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  <c r="M20" s="382"/>
      <c r="N20" s="382"/>
      <c r="O20" s="382"/>
      <c r="P20" s="382"/>
    </row>
    <row r="23" spans="1:37" ht="15.75" thickBot="1" x14ac:dyDescent="0.3"/>
    <row r="24" spans="1:37" x14ac:dyDescent="0.25">
      <c r="A24" s="383" t="s">
        <v>113</v>
      </c>
      <c r="B24" s="384"/>
      <c r="C24" s="384"/>
      <c r="D24" s="384"/>
      <c r="E24" s="384"/>
      <c r="F24" s="384"/>
      <c r="G24" s="384"/>
      <c r="H24" s="384"/>
      <c r="I24" s="384"/>
      <c r="J24" s="384"/>
      <c r="K24" s="384"/>
      <c r="L24" s="384"/>
      <c r="M24" s="384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  <c r="AA24" s="384"/>
      <c r="AB24" s="384"/>
      <c r="AC24" s="384"/>
      <c r="AD24" s="384"/>
      <c r="AE24" s="384"/>
      <c r="AF24" s="384"/>
      <c r="AG24" s="384"/>
      <c r="AH24" s="384"/>
      <c r="AI24" s="384"/>
      <c r="AJ24" s="384"/>
      <c r="AK24" s="385"/>
    </row>
    <row r="25" spans="1:37" x14ac:dyDescent="0.25">
      <c r="A25" s="386"/>
      <c r="B25" s="387"/>
      <c r="C25" s="387"/>
      <c r="D25" s="387"/>
      <c r="E25" s="387"/>
      <c r="F25" s="387"/>
      <c r="G25" s="387"/>
      <c r="H25" s="387"/>
      <c r="I25" s="387"/>
      <c r="J25" s="387"/>
      <c r="K25" s="387"/>
      <c r="L25" s="387"/>
      <c r="M25" s="387"/>
      <c r="N25" s="387"/>
      <c r="O25" s="387"/>
      <c r="P25" s="387"/>
      <c r="Q25" s="387"/>
      <c r="R25" s="387"/>
      <c r="S25" s="387"/>
      <c r="T25" s="387"/>
      <c r="U25" s="387"/>
      <c r="V25" s="387"/>
      <c r="W25" s="387"/>
      <c r="X25" s="387"/>
      <c r="Y25" s="387"/>
      <c r="Z25" s="387"/>
      <c r="AA25" s="387"/>
      <c r="AB25" s="387"/>
      <c r="AC25" s="387"/>
      <c r="AD25" s="387"/>
      <c r="AE25" s="387"/>
      <c r="AF25" s="387"/>
      <c r="AG25" s="387"/>
      <c r="AH25" s="387"/>
      <c r="AI25" s="387"/>
      <c r="AJ25" s="387"/>
      <c r="AK25" s="388"/>
    </row>
    <row r="26" spans="1:37" x14ac:dyDescent="0.25">
      <c r="A26" s="386"/>
      <c r="B26" s="387"/>
      <c r="C26" s="387"/>
      <c r="D26" s="387"/>
      <c r="E26" s="387"/>
      <c r="F26" s="387"/>
      <c r="G26" s="387"/>
      <c r="H26" s="387"/>
      <c r="I26" s="387"/>
      <c r="J26" s="387"/>
      <c r="K26" s="387"/>
      <c r="L26" s="387"/>
      <c r="M26" s="387"/>
      <c r="N26" s="387"/>
      <c r="O26" s="387"/>
      <c r="P26" s="387"/>
      <c r="Q26" s="387"/>
      <c r="R26" s="387"/>
      <c r="S26" s="387"/>
      <c r="T26" s="387"/>
      <c r="U26" s="387"/>
      <c r="V26" s="387"/>
      <c r="W26" s="387"/>
      <c r="X26" s="387"/>
      <c r="Y26" s="387"/>
      <c r="Z26" s="387"/>
      <c r="AA26" s="387"/>
      <c r="AB26" s="387"/>
      <c r="AC26" s="387"/>
      <c r="AD26" s="387"/>
      <c r="AE26" s="387"/>
      <c r="AF26" s="387"/>
      <c r="AG26" s="387"/>
      <c r="AH26" s="387"/>
      <c r="AI26" s="387"/>
      <c r="AJ26" s="387"/>
      <c r="AK26" s="388"/>
    </row>
    <row r="27" spans="1:37" ht="14.45" customHeight="1" x14ac:dyDescent="0.25">
      <c r="A27" s="393" t="s">
        <v>133</v>
      </c>
      <c r="B27" s="394"/>
      <c r="C27" s="394"/>
      <c r="D27" s="394"/>
      <c r="E27" s="394"/>
      <c r="F27" s="394"/>
      <c r="G27" s="394"/>
      <c r="H27" s="394"/>
      <c r="I27" s="394"/>
      <c r="J27" s="394"/>
      <c r="K27" s="394"/>
      <c r="L27" s="394"/>
      <c r="M27" s="394"/>
      <c r="N27" s="394"/>
      <c r="O27" s="394"/>
      <c r="P27" s="394"/>
      <c r="Q27" s="394"/>
      <c r="R27" s="394"/>
      <c r="S27" s="394"/>
      <c r="T27" s="394"/>
      <c r="U27" s="394"/>
      <c r="V27" s="394"/>
      <c r="W27" s="394"/>
      <c r="X27" s="394"/>
      <c r="Y27" s="394"/>
      <c r="Z27" s="394"/>
      <c r="AA27" s="394"/>
      <c r="AB27" s="394"/>
      <c r="AC27" s="394"/>
      <c r="AD27" s="394"/>
      <c r="AE27" s="394"/>
      <c r="AF27" s="394"/>
      <c r="AG27" s="389"/>
      <c r="AH27" s="389"/>
      <c r="AI27" s="389"/>
      <c r="AJ27" s="389"/>
      <c r="AK27" s="390"/>
    </row>
    <row r="28" spans="1:37" ht="14.45" customHeight="1" x14ac:dyDescent="0.25">
      <c r="A28" s="393"/>
      <c r="B28" s="394"/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394"/>
      <c r="N28" s="394"/>
      <c r="O28" s="394"/>
      <c r="P28" s="394"/>
      <c r="Q28" s="394"/>
      <c r="R28" s="394"/>
      <c r="S28" s="394"/>
      <c r="T28" s="394"/>
      <c r="U28" s="394"/>
      <c r="V28" s="394"/>
      <c r="W28" s="394"/>
      <c r="X28" s="394"/>
      <c r="Y28" s="394"/>
      <c r="Z28" s="394"/>
      <c r="AA28" s="394"/>
      <c r="AB28" s="394"/>
      <c r="AC28" s="394"/>
      <c r="AD28" s="394"/>
      <c r="AE28" s="394"/>
      <c r="AF28" s="394"/>
      <c r="AG28" s="389"/>
      <c r="AH28" s="389"/>
      <c r="AI28" s="389"/>
      <c r="AJ28" s="389"/>
      <c r="AK28" s="390"/>
    </row>
    <row r="29" spans="1:37" ht="14.45" customHeight="1" thickBot="1" x14ac:dyDescent="0.3">
      <c r="A29" s="395"/>
      <c r="B29" s="396"/>
      <c r="C29" s="396"/>
      <c r="D29" s="396"/>
      <c r="E29" s="396"/>
      <c r="F29" s="396"/>
      <c r="G29" s="396"/>
      <c r="H29" s="396"/>
      <c r="I29" s="396"/>
      <c r="J29" s="396"/>
      <c r="K29" s="396"/>
      <c r="L29" s="396"/>
      <c r="M29" s="396"/>
      <c r="N29" s="396"/>
      <c r="O29" s="396"/>
      <c r="P29" s="396"/>
      <c r="Q29" s="396"/>
      <c r="R29" s="396"/>
      <c r="S29" s="396"/>
      <c r="T29" s="396"/>
      <c r="U29" s="396"/>
      <c r="V29" s="396"/>
      <c r="W29" s="396"/>
      <c r="X29" s="396"/>
      <c r="Y29" s="396"/>
      <c r="Z29" s="396"/>
      <c r="AA29" s="396"/>
      <c r="AB29" s="396"/>
      <c r="AC29" s="396"/>
      <c r="AD29" s="396"/>
      <c r="AE29" s="396"/>
      <c r="AF29" s="396"/>
      <c r="AG29" s="391"/>
      <c r="AH29" s="391"/>
      <c r="AI29" s="391"/>
      <c r="AJ29" s="391"/>
      <c r="AK29" s="392"/>
    </row>
    <row r="30" spans="1:37" ht="14.4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ht="14.4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1:37" ht="14.4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8" s="19" customFormat="1" ht="15.75" x14ac:dyDescent="0.25">
      <c r="A33" s="19" t="s">
        <v>124</v>
      </c>
      <c r="B33" s="380">
        <f>Frente!$G$12</f>
        <v>0</v>
      </c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  <c r="AF33" s="380"/>
      <c r="AG33" s="380"/>
      <c r="AH33" s="380"/>
      <c r="AI33" s="380"/>
      <c r="AJ33" s="380"/>
      <c r="AK33" s="380"/>
    </row>
    <row r="34" spans="1:38" s="19" customFormat="1" ht="15.75" x14ac:dyDescent="0.25">
      <c r="A34" s="19" t="s">
        <v>125</v>
      </c>
      <c r="G34" s="378">
        <f>Frente!$J$15</f>
        <v>0</v>
      </c>
      <c r="H34" s="378"/>
      <c r="I34" s="378"/>
      <c r="J34" s="378"/>
      <c r="K34" s="378"/>
      <c r="L34" s="378"/>
      <c r="M34" s="378"/>
      <c r="N34" s="378"/>
      <c r="O34" s="378"/>
      <c r="P34" s="378"/>
      <c r="Q34" s="378"/>
      <c r="R34" s="378"/>
      <c r="S34" s="378"/>
      <c r="T34" s="19" t="s">
        <v>121</v>
      </c>
      <c r="V34" s="378">
        <f>Frente!$AC$15</f>
        <v>0</v>
      </c>
      <c r="W34" s="378"/>
      <c r="X34" s="378"/>
      <c r="Y34" s="378"/>
      <c r="Z34" s="378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</row>
    <row r="35" spans="1:38" s="19" customFormat="1" ht="15.75" x14ac:dyDescent="0.25">
      <c r="A35" s="19" t="s">
        <v>126</v>
      </c>
      <c r="E35" s="379">
        <f ca="1">TODAY()</f>
        <v>46134</v>
      </c>
      <c r="F35" s="380"/>
      <c r="G35" s="380"/>
      <c r="H35" s="380"/>
      <c r="I35" s="380"/>
      <c r="J35" s="380"/>
      <c r="K35" s="380"/>
      <c r="L35" s="380"/>
      <c r="M35" s="380"/>
      <c r="N35" s="19" t="s">
        <v>127</v>
      </c>
      <c r="O35" s="19" t="s">
        <v>134</v>
      </c>
    </row>
    <row r="36" spans="1:38" s="19" customFormat="1" ht="15.75" x14ac:dyDescent="0.25">
      <c r="A36" s="19" t="s">
        <v>136</v>
      </c>
      <c r="AL36" s="19" t="s">
        <v>138</v>
      </c>
    </row>
    <row r="37" spans="1:38" s="19" customFormat="1" ht="15.75" x14ac:dyDescent="0.25">
      <c r="A37" s="19" t="s">
        <v>135</v>
      </c>
    </row>
    <row r="38" spans="1:38" s="19" customFormat="1" ht="15.75" x14ac:dyDescent="0.25"/>
    <row r="39" spans="1:38" s="19" customFormat="1" ht="15.75" x14ac:dyDescent="0.25"/>
    <row r="40" spans="1:38" s="19" customFormat="1" ht="15.75" x14ac:dyDescent="0.25"/>
    <row r="41" spans="1:38" s="19" customFormat="1" ht="15.75" x14ac:dyDescent="0.25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</row>
    <row r="42" spans="1:38" ht="15.75" x14ac:dyDescent="0.25">
      <c r="A42" s="382" t="s">
        <v>132</v>
      </c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2"/>
      <c r="M42" s="382"/>
      <c r="N42" s="382"/>
      <c r="O42" s="382"/>
      <c r="P42" s="382"/>
    </row>
    <row r="49" spans="14:14" x14ac:dyDescent="0.25">
      <c r="N49" s="17" t="s">
        <v>137</v>
      </c>
    </row>
  </sheetData>
  <mergeCells count="18">
    <mergeCell ref="A1:AK3"/>
    <mergeCell ref="AG4:AK6"/>
    <mergeCell ref="A4:AF6"/>
    <mergeCell ref="B33:AK33"/>
    <mergeCell ref="B10:AK10"/>
    <mergeCell ref="V11:AK11"/>
    <mergeCell ref="E12:M12"/>
    <mergeCell ref="G11:S11"/>
    <mergeCell ref="A19:P19"/>
    <mergeCell ref="A20:P20"/>
    <mergeCell ref="A24:AK26"/>
    <mergeCell ref="A27:AF29"/>
    <mergeCell ref="AG27:AK29"/>
    <mergeCell ref="G34:S34"/>
    <mergeCell ref="V34:AK34"/>
    <mergeCell ref="E35:M35"/>
    <mergeCell ref="A41:P41"/>
    <mergeCell ref="A42:P42"/>
  </mergeCells>
  <pageMargins left="0.51181102362204722" right="0.51181102362204722" top="0.78740157480314965" bottom="0.78740157480314965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K9" sqref="K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Plan1</vt:lpstr>
      <vt:lpstr>Frente</vt:lpstr>
      <vt:lpstr>Verso</vt:lpstr>
      <vt:lpstr>CONSENTIMENTO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Dionélio Daleffe</dc:creator>
  <cp:lastModifiedBy>Roberto Silva</cp:lastModifiedBy>
  <cp:lastPrinted>2025-02-27T20:14:43Z</cp:lastPrinted>
  <dcterms:created xsi:type="dcterms:W3CDTF">2017-05-24T21:53:08Z</dcterms:created>
  <dcterms:modified xsi:type="dcterms:W3CDTF">2026-04-22T14:07:42Z</dcterms:modified>
</cp:coreProperties>
</file>